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cuments\Anaysis\"/>
    </mc:Choice>
  </mc:AlternateContent>
  <xr:revisionPtr revIDLastSave="0" documentId="13_ncr:1_{98B5A326-5E65-4293-AFED-74E65C5A05C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2" sheetId="3" r:id="rId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4" i="2" l="1"/>
  <c r="U3" i="2"/>
  <c r="V3" i="2"/>
  <c r="W3" i="2"/>
  <c r="X3" i="2"/>
  <c r="Y3" i="2"/>
  <c r="Z3" i="2"/>
  <c r="T4" i="2" l="1"/>
  <c r="Y4" i="2" s="1"/>
  <c r="T5" i="2"/>
  <c r="T6" i="2"/>
  <c r="T7" i="2"/>
  <c r="T8" i="2"/>
  <c r="Y8" i="2" s="1"/>
  <c r="T9" i="2"/>
  <c r="T10" i="2"/>
  <c r="T11" i="2"/>
  <c r="T12" i="2"/>
  <c r="Y12" i="2" s="1"/>
  <c r="T13" i="2"/>
  <c r="T14" i="2"/>
  <c r="T15" i="2"/>
  <c r="T16" i="2"/>
  <c r="Y16" i="2" s="1"/>
  <c r="T17" i="2"/>
  <c r="T18" i="2"/>
  <c r="T19" i="2"/>
  <c r="T20" i="2"/>
  <c r="Y20" i="2" s="1"/>
  <c r="T21" i="2"/>
  <c r="T22" i="2"/>
  <c r="T23" i="2"/>
  <c r="T24" i="2"/>
  <c r="Y24" i="2" s="1"/>
  <c r="T25" i="2"/>
  <c r="T26" i="2"/>
  <c r="T27" i="2"/>
  <c r="T28" i="2"/>
  <c r="Y28" i="2" s="1"/>
  <c r="T29" i="2"/>
  <c r="T30" i="2"/>
  <c r="T31" i="2"/>
  <c r="T32" i="2"/>
  <c r="Y32" i="2" s="1"/>
  <c r="T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" i="2"/>
  <c r="R4" i="2"/>
  <c r="W4" i="2" s="1"/>
  <c r="R5" i="2"/>
  <c r="R6" i="2"/>
  <c r="R7" i="2"/>
  <c r="R8" i="2"/>
  <c r="W8" i="2" s="1"/>
  <c r="R9" i="2"/>
  <c r="R10" i="2"/>
  <c r="R11" i="2"/>
  <c r="R12" i="2"/>
  <c r="W12" i="2" s="1"/>
  <c r="R13" i="2"/>
  <c r="W13" i="2" s="1"/>
  <c r="R14" i="2"/>
  <c r="R15" i="2"/>
  <c r="R16" i="2"/>
  <c r="W16" i="2" s="1"/>
  <c r="R17" i="2"/>
  <c r="R18" i="2"/>
  <c r="R19" i="2"/>
  <c r="R20" i="2"/>
  <c r="W20" i="2" s="1"/>
  <c r="R21" i="2"/>
  <c r="R22" i="2"/>
  <c r="R23" i="2"/>
  <c r="R24" i="2"/>
  <c r="W24" i="2" s="1"/>
  <c r="R25" i="2"/>
  <c r="R26" i="2"/>
  <c r="R27" i="2"/>
  <c r="R28" i="2"/>
  <c r="W28" i="2" s="1"/>
  <c r="R29" i="2"/>
  <c r="R30" i="2"/>
  <c r="R31" i="2"/>
  <c r="R32" i="2"/>
  <c r="W32" i="2" s="1"/>
  <c r="R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" i="2"/>
  <c r="P4" i="2"/>
  <c r="U4" i="2" s="1"/>
  <c r="P5" i="2"/>
  <c r="P6" i="2"/>
  <c r="P7" i="2"/>
  <c r="P8" i="2"/>
  <c r="U8" i="2" s="1"/>
  <c r="P9" i="2"/>
  <c r="U9" i="2" s="1"/>
  <c r="P10" i="2"/>
  <c r="P11" i="2"/>
  <c r="P12" i="2"/>
  <c r="U12" i="2" s="1"/>
  <c r="P13" i="2"/>
  <c r="P14" i="2"/>
  <c r="P15" i="2"/>
  <c r="P16" i="2"/>
  <c r="U16" i="2" s="1"/>
  <c r="P17" i="2"/>
  <c r="P18" i="2"/>
  <c r="P19" i="2"/>
  <c r="P20" i="2"/>
  <c r="U20" i="2" s="1"/>
  <c r="P21" i="2"/>
  <c r="P22" i="2"/>
  <c r="P23" i="2"/>
  <c r="P24" i="2"/>
  <c r="P25" i="2"/>
  <c r="P26" i="2"/>
  <c r="P27" i="2"/>
  <c r="P28" i="2"/>
  <c r="U28" i="2" s="1"/>
  <c r="P29" i="2"/>
  <c r="P30" i="2"/>
  <c r="P31" i="2"/>
  <c r="P32" i="2"/>
  <c r="U32" i="2" s="1"/>
  <c r="P3" i="2"/>
  <c r="O4" i="2"/>
  <c r="X4" i="2" s="1"/>
  <c r="O5" i="2"/>
  <c r="W5" i="2" s="1"/>
  <c r="O6" i="2"/>
  <c r="O7" i="2"/>
  <c r="X7" i="2" s="1"/>
  <c r="O8" i="2"/>
  <c r="X8" i="2" s="1"/>
  <c r="O9" i="2"/>
  <c r="Y9" i="2" s="1"/>
  <c r="O10" i="2"/>
  <c r="O11" i="2"/>
  <c r="V11" i="2" s="1"/>
  <c r="O12" i="2"/>
  <c r="X12" i="2" s="1"/>
  <c r="O13" i="2"/>
  <c r="O14" i="2"/>
  <c r="O15" i="2"/>
  <c r="X15" i="2" s="1"/>
  <c r="O16" i="2"/>
  <c r="X16" i="2" s="1"/>
  <c r="O17" i="2"/>
  <c r="O18" i="2"/>
  <c r="O19" i="2"/>
  <c r="X19" i="2" s="1"/>
  <c r="O20" i="2"/>
  <c r="X20" i="2" s="1"/>
  <c r="O21" i="2"/>
  <c r="O22" i="2"/>
  <c r="O23" i="2"/>
  <c r="X23" i="2" s="1"/>
  <c r="O24" i="2"/>
  <c r="X24" i="2" s="1"/>
  <c r="O25" i="2"/>
  <c r="O26" i="2"/>
  <c r="O27" i="2"/>
  <c r="V27" i="2" s="1"/>
  <c r="O28" i="2"/>
  <c r="X28" i="2" s="1"/>
  <c r="O29" i="2"/>
  <c r="O30" i="2"/>
  <c r="O31" i="2"/>
  <c r="X31" i="2" s="1"/>
  <c r="O32" i="2"/>
  <c r="X32" i="2" s="1"/>
  <c r="O3" i="2"/>
  <c r="J10" i="2"/>
  <c r="M10" i="2"/>
  <c r="K10" i="2"/>
  <c r="L10" i="2"/>
  <c r="M9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8" i="2"/>
  <c r="AE8" i="2" s="1"/>
  <c r="L9" i="2"/>
  <c r="L11" i="2"/>
  <c r="L12" i="2"/>
  <c r="AD12" i="2" s="1"/>
  <c r="L13" i="2"/>
  <c r="L14" i="2"/>
  <c r="L15" i="2"/>
  <c r="L16" i="2"/>
  <c r="AD16" i="2" s="1"/>
  <c r="L17" i="2"/>
  <c r="L18" i="2"/>
  <c r="L19" i="2"/>
  <c r="L20" i="2"/>
  <c r="AD20" i="2" s="1"/>
  <c r="L21" i="2"/>
  <c r="L22" i="2"/>
  <c r="L23" i="2"/>
  <c r="AD24" i="2"/>
  <c r="L25" i="2"/>
  <c r="L26" i="2"/>
  <c r="L27" i="2"/>
  <c r="L28" i="2"/>
  <c r="AD28" i="2" s="1"/>
  <c r="L29" i="2"/>
  <c r="L30" i="2"/>
  <c r="L31" i="2"/>
  <c r="L32" i="2"/>
  <c r="AD32" i="2" s="1"/>
  <c r="L8" i="2"/>
  <c r="AD8" i="2" s="1"/>
  <c r="K9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8" i="2"/>
  <c r="AC8" i="2" s="1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9" i="2"/>
  <c r="J11" i="2"/>
  <c r="J12" i="2"/>
  <c r="J13" i="2"/>
  <c r="J14" i="2"/>
  <c r="J15" i="2"/>
  <c r="J16" i="2"/>
  <c r="J17" i="2"/>
  <c r="J18" i="2"/>
  <c r="J8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9" i="2"/>
  <c r="I10" i="2"/>
  <c r="N10" i="2" s="1"/>
  <c r="I11" i="2"/>
  <c r="I12" i="2"/>
  <c r="I13" i="2"/>
  <c r="N13" i="2" s="1"/>
  <c r="I14" i="2"/>
  <c r="I15" i="2"/>
  <c r="I16" i="2"/>
  <c r="I17" i="2"/>
  <c r="I8" i="2"/>
  <c r="M7" i="2"/>
  <c r="L7" i="2"/>
  <c r="K7" i="2"/>
  <c r="J7" i="2"/>
  <c r="I7" i="2"/>
  <c r="M6" i="2"/>
  <c r="L6" i="2"/>
  <c r="K6" i="2"/>
  <c r="J6" i="2"/>
  <c r="I6" i="2"/>
  <c r="M5" i="2"/>
  <c r="L5" i="2"/>
  <c r="K5" i="2"/>
  <c r="J5" i="2"/>
  <c r="I5" i="2"/>
  <c r="M4" i="2"/>
  <c r="M3" i="2"/>
  <c r="L4" i="2"/>
  <c r="AD4" i="2" s="1"/>
  <c r="L3" i="2"/>
  <c r="K4" i="2"/>
  <c r="K3" i="2"/>
  <c r="J4" i="2"/>
  <c r="J3" i="2"/>
  <c r="I4" i="2"/>
  <c r="I3" i="2"/>
  <c r="AB27" i="2" l="1"/>
  <c r="V23" i="2"/>
  <c r="V7" i="2"/>
  <c r="AB7" i="2" s="1"/>
  <c r="X27" i="2"/>
  <c r="X11" i="2"/>
  <c r="N7" i="2"/>
  <c r="AA25" i="2"/>
  <c r="N8" i="2"/>
  <c r="AB11" i="2"/>
  <c r="AC13" i="2"/>
  <c r="V19" i="2"/>
  <c r="AB19" i="2" s="1"/>
  <c r="AD7" i="2"/>
  <c r="AA12" i="2"/>
  <c r="AA28" i="2"/>
  <c r="AF28" i="2" s="1"/>
  <c r="AA20" i="2"/>
  <c r="AC32" i="2"/>
  <c r="AC28" i="2"/>
  <c r="AC24" i="2"/>
  <c r="AC20" i="2"/>
  <c r="AC16" i="2"/>
  <c r="AC12" i="2"/>
  <c r="AE32" i="2"/>
  <c r="AE28" i="2"/>
  <c r="AE24" i="2"/>
  <c r="AE20" i="2"/>
  <c r="AE16" i="2"/>
  <c r="AE12" i="2"/>
  <c r="W29" i="2"/>
  <c r="Y25" i="2"/>
  <c r="AE25" i="2" s="1"/>
  <c r="U17" i="2"/>
  <c r="U25" i="2"/>
  <c r="V31" i="2"/>
  <c r="V15" i="2"/>
  <c r="AB15" i="2" s="1"/>
  <c r="N31" i="2"/>
  <c r="N23" i="2"/>
  <c r="AD31" i="2"/>
  <c r="AD23" i="2"/>
  <c r="AD15" i="2"/>
  <c r="U24" i="2"/>
  <c r="AA24" i="2" s="1"/>
  <c r="N5" i="2"/>
  <c r="AD6" i="2"/>
  <c r="AA17" i="2"/>
  <c r="AA9" i="2"/>
  <c r="N9" i="2"/>
  <c r="AA29" i="2"/>
  <c r="AC29" i="2"/>
  <c r="AD13" i="2"/>
  <c r="N25" i="2"/>
  <c r="N6" i="2"/>
  <c r="AA16" i="2"/>
  <c r="AA32" i="2"/>
  <c r="N24" i="2"/>
  <c r="AC15" i="2"/>
  <c r="N29" i="2"/>
  <c r="Y26" i="2"/>
  <c r="AE26" i="2" s="1"/>
  <c r="W26" i="2"/>
  <c r="AC26" i="2" s="1"/>
  <c r="U26" i="2"/>
  <c r="V26" i="2"/>
  <c r="AB26" i="2" s="1"/>
  <c r="X26" i="2"/>
  <c r="AD26" i="2" s="1"/>
  <c r="Y18" i="2"/>
  <c r="AE18" i="2" s="1"/>
  <c r="W18" i="2"/>
  <c r="AC18" i="2" s="1"/>
  <c r="U18" i="2"/>
  <c r="V18" i="2"/>
  <c r="AB18" i="2" s="1"/>
  <c r="X18" i="2"/>
  <c r="Y10" i="2"/>
  <c r="W10" i="2"/>
  <c r="AC10" i="2" s="1"/>
  <c r="U10" i="2"/>
  <c r="V10" i="2"/>
  <c r="AB10" i="2" s="1"/>
  <c r="X10" i="2"/>
  <c r="Y6" i="2"/>
  <c r="AE6" i="2" s="1"/>
  <c r="W6" i="2"/>
  <c r="AC6" i="2" s="1"/>
  <c r="U6" i="2"/>
  <c r="AA6" i="2" s="1"/>
  <c r="X6" i="2"/>
  <c r="V6" i="2"/>
  <c r="AB3" i="2"/>
  <c r="N3" i="2"/>
  <c r="N17" i="2"/>
  <c r="N32" i="2"/>
  <c r="N16" i="2"/>
  <c r="AE10" i="2"/>
  <c r="N15" i="2"/>
  <c r="N21" i="2"/>
  <c r="Y30" i="2"/>
  <c r="AE30" i="2" s="1"/>
  <c r="W30" i="2"/>
  <c r="AC30" i="2" s="1"/>
  <c r="U30" i="2"/>
  <c r="X30" i="2"/>
  <c r="Y22" i="2"/>
  <c r="AE22" i="2" s="1"/>
  <c r="W22" i="2"/>
  <c r="AC22" i="2" s="1"/>
  <c r="U22" i="2"/>
  <c r="X22" i="2"/>
  <c r="V22" i="2"/>
  <c r="AB22" i="2" s="1"/>
  <c r="Y14" i="2"/>
  <c r="AE14" i="2" s="1"/>
  <c r="W14" i="2"/>
  <c r="AC14" i="2" s="1"/>
  <c r="U14" i="2"/>
  <c r="X14" i="2"/>
  <c r="AD14" i="2" s="1"/>
  <c r="V14" i="2"/>
  <c r="AB14" i="2" s="1"/>
  <c r="N14" i="2"/>
  <c r="AA10" i="2"/>
  <c r="N30" i="2"/>
  <c r="AA26" i="2"/>
  <c r="N22" i="2"/>
  <c r="AA18" i="2"/>
  <c r="N28" i="2"/>
  <c r="N20" i="2"/>
  <c r="N12" i="2"/>
  <c r="AD10" i="2"/>
  <c r="AD3" i="2"/>
  <c r="X29" i="2"/>
  <c r="AD29" i="2" s="1"/>
  <c r="V29" i="2"/>
  <c r="AB29" i="2" s="1"/>
  <c r="Y29" i="2"/>
  <c r="AE29" i="2" s="1"/>
  <c r="U29" i="2"/>
  <c r="X25" i="2"/>
  <c r="AD25" i="2" s="1"/>
  <c r="V25" i="2"/>
  <c r="W25" i="2"/>
  <c r="AC25" i="2" s="1"/>
  <c r="X21" i="2"/>
  <c r="AD21" i="2" s="1"/>
  <c r="V21" i="2"/>
  <c r="AB21" i="2" s="1"/>
  <c r="Y21" i="2"/>
  <c r="AE21" i="2" s="1"/>
  <c r="U21" i="2"/>
  <c r="AA21" i="2" s="1"/>
  <c r="X17" i="2"/>
  <c r="AD17" i="2" s="1"/>
  <c r="V17" i="2"/>
  <c r="Z17" i="2" s="1"/>
  <c r="W17" i="2"/>
  <c r="AC17" i="2" s="1"/>
  <c r="X13" i="2"/>
  <c r="V13" i="2"/>
  <c r="AB13" i="2" s="1"/>
  <c r="Y13" i="2"/>
  <c r="AE13" i="2" s="1"/>
  <c r="U13" i="2"/>
  <c r="X9" i="2"/>
  <c r="AD9" i="2" s="1"/>
  <c r="V9" i="2"/>
  <c r="AB9" i="2" s="1"/>
  <c r="W9" i="2"/>
  <c r="AC9" i="2" s="1"/>
  <c r="X5" i="2"/>
  <c r="AD5" i="2" s="1"/>
  <c r="V5" i="2"/>
  <c r="AB5" i="2" s="1"/>
  <c r="Y5" i="2"/>
  <c r="AE5" i="2" s="1"/>
  <c r="U5" i="2"/>
  <c r="V30" i="2"/>
  <c r="AB30" i="2" s="1"/>
  <c r="W21" i="2"/>
  <c r="AC21" i="2" s="1"/>
  <c r="Y17" i="2"/>
  <c r="AE17" i="2" s="1"/>
  <c r="AA3" i="2"/>
  <c r="AC3" i="2"/>
  <c r="AE3" i="2"/>
  <c r="AC5" i="2"/>
  <c r="AB6" i="2"/>
  <c r="AD27" i="2"/>
  <c r="AD19" i="2"/>
  <c r="AD11" i="2"/>
  <c r="N27" i="2"/>
  <c r="N19" i="2"/>
  <c r="N11" i="2"/>
  <c r="AA4" i="2"/>
  <c r="AC4" i="2"/>
  <c r="AE4" i="2"/>
  <c r="AA8" i="2"/>
  <c r="AB31" i="2"/>
  <c r="AB23" i="2"/>
  <c r="AD30" i="2"/>
  <c r="AD22" i="2"/>
  <c r="AD18" i="2"/>
  <c r="AE9" i="2"/>
  <c r="N26" i="2"/>
  <c r="N18" i="2"/>
  <c r="N4" i="2"/>
  <c r="Y31" i="2"/>
  <c r="AE31" i="2" s="1"/>
  <c r="Y27" i="2"/>
  <c r="AE27" i="2" s="1"/>
  <c r="Y23" i="2"/>
  <c r="AE23" i="2" s="1"/>
  <c r="Y19" i="2"/>
  <c r="AE19" i="2" s="1"/>
  <c r="Y15" i="2"/>
  <c r="AE15" i="2" s="1"/>
  <c r="Y11" i="2"/>
  <c r="AE11" i="2" s="1"/>
  <c r="Y7" i="2"/>
  <c r="AE7" i="2" s="1"/>
  <c r="U31" i="2"/>
  <c r="U27" i="2"/>
  <c r="AA27" i="2" s="1"/>
  <c r="U23" i="2"/>
  <c r="U19" i="2"/>
  <c r="AA19" i="2" s="1"/>
  <c r="U15" i="2"/>
  <c r="U11" i="2"/>
  <c r="U7" i="2"/>
  <c r="W31" i="2"/>
  <c r="AC31" i="2" s="1"/>
  <c r="W27" i="2"/>
  <c r="AC27" i="2" s="1"/>
  <c r="W23" i="2"/>
  <c r="AC23" i="2" s="1"/>
  <c r="W19" i="2"/>
  <c r="AC19" i="2" s="1"/>
  <c r="W15" i="2"/>
  <c r="W11" i="2"/>
  <c r="AC11" i="2" s="1"/>
  <c r="W7" i="2"/>
  <c r="AC7" i="2" s="1"/>
  <c r="V32" i="2"/>
  <c r="AB32" i="2" s="1"/>
  <c r="V28" i="2"/>
  <c r="AB28" i="2" s="1"/>
  <c r="V24" i="2"/>
  <c r="AB24" i="2" s="1"/>
  <c r="V20" i="2"/>
  <c r="AB20" i="2" s="1"/>
  <c r="AF20" i="2" s="1"/>
  <c r="V16" i="2"/>
  <c r="AB16" i="2" s="1"/>
  <c r="V12" i="2"/>
  <c r="AB12" i="2" s="1"/>
  <c r="V8" i="2"/>
  <c r="AB8" i="2" s="1"/>
  <c r="V4" i="2"/>
  <c r="AB4" i="2" s="1"/>
  <c r="AF12" i="2" l="1"/>
  <c r="Z28" i="2"/>
  <c r="Z10" i="2"/>
  <c r="Z9" i="2"/>
  <c r="Z24" i="2"/>
  <c r="AF24" i="2"/>
  <c r="Z13" i="2"/>
  <c r="Z25" i="2"/>
  <c r="AF10" i="2"/>
  <c r="E37" i="2"/>
  <c r="E38" i="2"/>
  <c r="E36" i="2"/>
  <c r="E39" i="2" s="1"/>
  <c r="AF27" i="2"/>
  <c r="Z23" i="2"/>
  <c r="AA23" i="2"/>
  <c r="AF23" i="2" s="1"/>
  <c r="D38" i="2"/>
  <c r="D37" i="2"/>
  <c r="D36" i="2"/>
  <c r="Z32" i="2"/>
  <c r="Z11" i="2"/>
  <c r="AF3" i="2"/>
  <c r="AA13" i="2"/>
  <c r="AF13" i="2" s="1"/>
  <c r="Z18" i="2"/>
  <c r="AF6" i="2"/>
  <c r="AF29" i="2"/>
  <c r="Z16" i="2"/>
  <c r="Z15" i="2"/>
  <c r="AA15" i="2"/>
  <c r="AF15" i="2" s="1"/>
  <c r="AF8" i="2"/>
  <c r="AF4" i="2"/>
  <c r="Z29" i="2"/>
  <c r="AF26" i="2"/>
  <c r="Z14" i="2"/>
  <c r="AA14" i="2"/>
  <c r="AF14" i="2" s="1"/>
  <c r="Z12" i="2"/>
  <c r="Z26" i="2"/>
  <c r="AB17" i="2"/>
  <c r="AB25" i="2"/>
  <c r="AF25" i="2" s="1"/>
  <c r="AF32" i="2"/>
  <c r="Z7" i="2"/>
  <c r="AA7" i="2"/>
  <c r="AF7" i="2" s="1"/>
  <c r="AF18" i="2"/>
  <c r="AF19" i="2"/>
  <c r="C37" i="2"/>
  <c r="AF21" i="2"/>
  <c r="Z27" i="2"/>
  <c r="Z5" i="2"/>
  <c r="Z4" i="2"/>
  <c r="Z31" i="2"/>
  <c r="AA31" i="2"/>
  <c r="AF31" i="2" s="1"/>
  <c r="Z19" i="2"/>
  <c r="F38" i="2"/>
  <c r="F37" i="2"/>
  <c r="F36" i="2"/>
  <c r="Z21" i="2"/>
  <c r="Z22" i="2"/>
  <c r="AA22" i="2"/>
  <c r="AF22" i="2" s="1"/>
  <c r="Z30" i="2"/>
  <c r="AA30" i="2"/>
  <c r="AF30" i="2" s="1"/>
  <c r="Z8" i="2"/>
  <c r="Z20" i="2"/>
  <c r="Z6" i="2"/>
  <c r="AA11" i="2"/>
  <c r="AF11" i="2" s="1"/>
  <c r="AF16" i="2"/>
  <c r="AF9" i="2"/>
  <c r="AA5" i="2"/>
  <c r="AF5" i="2" s="1"/>
  <c r="F39" i="2" l="1"/>
  <c r="C36" i="2"/>
  <c r="B36" i="2"/>
  <c r="C38" i="2"/>
  <c r="C39" i="2" s="1"/>
  <c r="B37" i="2"/>
  <c r="B38" i="2"/>
  <c r="AF17" i="2"/>
  <c r="H36" i="2" s="1"/>
  <c r="H38" i="2"/>
  <c r="D39" i="2"/>
  <c r="H37" i="2" l="1"/>
  <c r="H39" i="2" s="1"/>
  <c r="B39" i="2"/>
</calcChain>
</file>

<file path=xl/sharedStrings.xml><?xml version="1.0" encoding="utf-8"?>
<sst xmlns="http://schemas.openxmlformats.org/spreadsheetml/2006/main" count="142" uniqueCount="79">
  <si>
    <t xml:space="preserve">Hours Worked </t>
  </si>
  <si>
    <t xml:space="preserve">First Name </t>
  </si>
  <si>
    <t>Hourly Wage</t>
  </si>
  <si>
    <t>Kern</t>
  </si>
  <si>
    <t>Jon</t>
  </si>
  <si>
    <t>Howard</t>
  </si>
  <si>
    <t xml:space="preserve">Ron </t>
  </si>
  <si>
    <t xml:space="preserve">Smith </t>
  </si>
  <si>
    <t xml:space="preserve">Paul </t>
  </si>
  <si>
    <t>Smart</t>
  </si>
  <si>
    <t>Collins</t>
  </si>
  <si>
    <t>Kings</t>
  </si>
  <si>
    <t xml:space="preserve">Tom </t>
  </si>
  <si>
    <t>Velinda</t>
  </si>
  <si>
    <t xml:space="preserve">Favour </t>
  </si>
  <si>
    <t>Graham</t>
  </si>
  <si>
    <t>Nancy</t>
  </si>
  <si>
    <t xml:space="preserve">Norman </t>
  </si>
  <si>
    <t>Sandy</t>
  </si>
  <si>
    <t>Mann</t>
  </si>
  <si>
    <t>Sandra</t>
  </si>
  <si>
    <t xml:space="preserve">Bright </t>
  </si>
  <si>
    <t>Linda</t>
  </si>
  <si>
    <t xml:space="preserve">Loveth </t>
  </si>
  <si>
    <t xml:space="preserve">Kinglsey </t>
  </si>
  <si>
    <t xml:space="preserve">Gift </t>
  </si>
  <si>
    <t xml:space="preserve">Jude </t>
  </si>
  <si>
    <t xml:space="preserve">Precious </t>
  </si>
  <si>
    <t>Mark</t>
  </si>
  <si>
    <t>David</t>
  </si>
  <si>
    <t xml:space="preserve">Luke </t>
  </si>
  <si>
    <t xml:space="preserve">Solomon </t>
  </si>
  <si>
    <t xml:space="preserve">Asher </t>
  </si>
  <si>
    <t xml:space="preserve">Divine </t>
  </si>
  <si>
    <t>Olivia</t>
  </si>
  <si>
    <t xml:space="preserve">Gerald </t>
  </si>
  <si>
    <t>Genesis</t>
  </si>
  <si>
    <t xml:space="preserve">Young </t>
  </si>
  <si>
    <t xml:space="preserve">Lovelyn </t>
  </si>
  <si>
    <t>Bill</t>
  </si>
  <si>
    <t xml:space="preserve">Kelvin </t>
  </si>
  <si>
    <t xml:space="preserve">Nelson </t>
  </si>
  <si>
    <t xml:space="preserve">Kenneth </t>
  </si>
  <si>
    <t>Kenneth</t>
  </si>
  <si>
    <t xml:space="preserve">Dabs </t>
  </si>
  <si>
    <t xml:space="preserve">Hope </t>
  </si>
  <si>
    <t xml:space="preserve">Marvin </t>
  </si>
  <si>
    <t>Confidence</t>
  </si>
  <si>
    <t xml:space="preserve">Mary </t>
  </si>
  <si>
    <t xml:space="preserve">Comfort </t>
  </si>
  <si>
    <t xml:space="preserve">Justice </t>
  </si>
  <si>
    <t xml:space="preserve">Charles </t>
  </si>
  <si>
    <t xml:space="preserve">Holand </t>
  </si>
  <si>
    <t xml:space="preserve">Emmanuel </t>
  </si>
  <si>
    <t>Rich</t>
  </si>
  <si>
    <t>Ben</t>
  </si>
  <si>
    <t xml:space="preserve">Abraham </t>
  </si>
  <si>
    <t xml:space="preserve">George </t>
  </si>
  <si>
    <t xml:space="preserve">Phil </t>
  </si>
  <si>
    <t>Richard</t>
  </si>
  <si>
    <t xml:space="preserve">Samson </t>
  </si>
  <si>
    <t xml:space="preserve">Wiliams </t>
  </si>
  <si>
    <t xml:space="preserve">Tim </t>
  </si>
  <si>
    <t>Highest Paid:</t>
  </si>
  <si>
    <t>Lowest:</t>
  </si>
  <si>
    <t>Average :</t>
  </si>
  <si>
    <t>Monthly Payment:</t>
  </si>
  <si>
    <t>NORMAL HOURS WORKED</t>
  </si>
  <si>
    <t>TOTAL PAY</t>
  </si>
  <si>
    <t>TOTAL HR</t>
  </si>
  <si>
    <t>OVER TIME</t>
  </si>
  <si>
    <t>TOTAL OT</t>
  </si>
  <si>
    <t>OT WAGE</t>
  </si>
  <si>
    <t>OVERTIME BOUNS</t>
  </si>
  <si>
    <t>MONTHLY PAY</t>
  </si>
  <si>
    <t>JAN</t>
  </si>
  <si>
    <t>MONTH END</t>
  </si>
  <si>
    <t>NAMES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</si>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</sst>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&quot;$&quot;#,##0.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4" fontId="9" fillId="0" borderId="0" applyFont="0" applyFill="0" applyBorder="0" applyAlignment="0" applyProtection="0"/>
  </cellStyleXfs>
  <cellXfs count="2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>
      <alignment vertical="center"/>
    </xf>
    <xf numFmtId="16" fontId="5" fillId="2" borderId="2" xfId="0" applyNumberFormat="1" applyFont="1" applyFill="1" applyBorder="1">
      <alignment vertical="center"/>
    </xf>
    <xf numFmtId="16" fontId="5" fillId="2" borderId="3" xfId="0" applyNumberFormat="1" applyFont="1" applyFill="1" applyBorder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1" fontId="0" fillId="0" borderId="0" xfId="0" applyNumberFormat="1">
      <alignment vertical="center"/>
    </xf>
    <xf numFmtId="16" fontId="7" fillId="3" borderId="0" xfId="0" applyNumberFormat="1" applyFont="1" applyFill="1">
      <alignment vertical="center"/>
    </xf>
    <xf numFmtId="16" fontId="7" fillId="4" borderId="0" xfId="0" applyNumberFormat="1" applyFont="1" applyFill="1">
      <alignment vertical="center"/>
    </xf>
    <xf numFmtId="0" fontId="7" fillId="0" borderId="0" xfId="0" applyFont="1" applyAlignment="1">
      <alignment horizontal="center" vertical="center" wrapText="1"/>
    </xf>
    <xf numFmtId="16" fontId="7" fillId="5" borderId="0" xfId="0" applyNumberFormat="1" applyFont="1" applyFill="1">
      <alignment vertical="center"/>
    </xf>
    <xf numFmtId="0" fontId="0" fillId="5" borderId="0" xfId="0" applyFill="1">
      <alignment vertical="center"/>
    </xf>
    <xf numFmtId="16" fontId="7" fillId="6" borderId="0" xfId="0" applyNumberFormat="1" applyFont="1" applyFill="1">
      <alignment vertical="center"/>
    </xf>
    <xf numFmtId="0" fontId="0" fillId="6" borderId="0" xfId="0" applyFill="1">
      <alignment vertical="center"/>
    </xf>
    <xf numFmtId="0" fontId="7" fillId="0" borderId="0" xfId="0" applyFont="1">
      <alignment vertical="center"/>
    </xf>
    <xf numFmtId="164" fontId="0" fillId="0" borderId="0" xfId="0" applyNumberFormat="1">
      <alignment vertical="center"/>
    </xf>
    <xf numFmtId="164" fontId="0" fillId="3" borderId="0" xfId="0" applyNumberFormat="1" applyFill="1">
      <alignment vertical="center"/>
    </xf>
    <xf numFmtId="0" fontId="8" fillId="0" borderId="0" xfId="0" applyFont="1">
      <alignment vertical="center"/>
    </xf>
    <xf numFmtId="0" fontId="7" fillId="7" borderId="0" xfId="0" applyFont="1" applyFill="1">
      <alignment vertical="center"/>
    </xf>
    <xf numFmtId="164" fontId="0" fillId="7" borderId="0" xfId="0" applyNumberFormat="1" applyFill="1">
      <alignment vertical="center"/>
    </xf>
    <xf numFmtId="0" fontId="1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44" fontId="0" fillId="2" borderId="0" xfId="1" applyFont="1" applyFill="1" applyAlignment="1">
      <alignment vertical="center"/>
    </xf>
    <xf numFmtId="44" fontId="0" fillId="4" borderId="0" xfId="1" applyFont="1" applyFill="1" applyAlignment="1">
      <alignment vertical="center"/>
    </xf>
    <xf numFmtId="44" fontId="3" fillId="4" borderId="0" xfId="1" applyFont="1" applyFill="1" applyAlignment="1">
      <alignment vertical="center"/>
    </xf>
    <xf numFmtId="44" fontId="0" fillId="6" borderId="0" xfId="1" applyFont="1" applyFill="1" applyAlignment="1">
      <alignment vertical="center"/>
    </xf>
    <xf numFmtId="44" fontId="2" fillId="4" borderId="0" xfId="1" applyFont="1" applyFill="1" applyAlignment="1">
      <alignment vertical="center"/>
    </xf>
    <xf numFmtId="0" fontId="6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8810"/>
      <color rgb="FFFF6C0D"/>
      <color rgb="FFFE9B1C"/>
      <color rgb="FF000000"/>
      <color rgb="FFFCB7D4"/>
      <color rgb="FFF8A5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9"/>
  <sheetViews>
    <sheetView workbookViewId="0">
      <selection activeCell="E18" sqref="E18"/>
    </sheetView>
  </sheetViews>
  <sheetFormatPr defaultRowHeight="15"/>
  <cols>
    <col min="1" max="1" width="17.5703125" bestFit="1" customWidth="1"/>
    <col min="2" max="2" width="12" bestFit="1" customWidth="1"/>
    <col min="3" max="3" width="13.85546875" bestFit="1" customWidth="1"/>
    <col min="5" max="6" width="10.7109375" customWidth="1"/>
    <col min="7" max="7" width="9.85546875" customWidth="1"/>
    <col min="8" max="8" width="9.42578125" customWidth="1"/>
    <col min="14" max="14" width="11.85546875" customWidth="1"/>
    <col min="15" max="15" width="11" customWidth="1"/>
    <col min="21" max="21" width="10.7109375" customWidth="1"/>
    <col min="22" max="22" width="12.85546875" customWidth="1"/>
    <col min="26" max="26" width="11.140625" customWidth="1"/>
  </cols>
  <sheetData>
    <row r="1" spans="1:32" ht="32.25" thickBot="1">
      <c r="A1" s="22" t="s">
        <v>77</v>
      </c>
      <c r="E1" s="1" t="s">
        <v>0</v>
      </c>
      <c r="J1" s="28" t="s">
        <v>67</v>
      </c>
      <c r="K1" s="28"/>
      <c r="L1" s="28"/>
      <c r="M1" s="28"/>
      <c r="P1" s="10" t="s">
        <v>70</v>
      </c>
      <c r="S1" s="6"/>
      <c r="V1" s="15" t="s">
        <v>73</v>
      </c>
      <c r="Y1" s="6"/>
      <c r="Z1" s="15"/>
      <c r="AA1" s="6"/>
      <c r="AB1" s="15" t="s">
        <v>68</v>
      </c>
      <c r="AF1" s="18" t="s">
        <v>74</v>
      </c>
    </row>
    <row r="2" spans="1:32" ht="16.5" thickBot="1">
      <c r="A2" s="15" t="s">
        <v>78</v>
      </c>
      <c r="B2" s="15" t="s">
        <v>1</v>
      </c>
      <c r="C2" s="2" t="s">
        <v>2</v>
      </c>
      <c r="D2" s="3">
        <v>44927</v>
      </c>
      <c r="E2" s="3">
        <v>44934</v>
      </c>
      <c r="F2" s="3">
        <v>44941</v>
      </c>
      <c r="G2" s="3">
        <v>44948</v>
      </c>
      <c r="H2" s="4">
        <v>44955</v>
      </c>
      <c r="I2" s="9">
        <v>45658</v>
      </c>
      <c r="J2" s="9">
        <v>45665</v>
      </c>
      <c r="K2" s="9">
        <v>45672</v>
      </c>
      <c r="L2" s="9">
        <v>45679</v>
      </c>
      <c r="M2" s="9">
        <v>45686</v>
      </c>
      <c r="N2" s="9" t="s">
        <v>69</v>
      </c>
      <c r="O2" s="13" t="s">
        <v>72</v>
      </c>
      <c r="P2" s="13">
        <v>45658</v>
      </c>
      <c r="Q2" s="13">
        <v>45665</v>
      </c>
      <c r="R2" s="13">
        <v>45672</v>
      </c>
      <c r="S2" s="13">
        <v>45679</v>
      </c>
      <c r="T2" s="13">
        <v>45686</v>
      </c>
      <c r="U2" s="11">
        <v>45658</v>
      </c>
      <c r="V2" s="11">
        <v>45665</v>
      </c>
      <c r="W2" s="11">
        <v>45672</v>
      </c>
      <c r="X2" s="11">
        <v>45679</v>
      </c>
      <c r="Y2" s="11">
        <v>45686</v>
      </c>
      <c r="Z2" s="11" t="s">
        <v>71</v>
      </c>
      <c r="AA2" s="8">
        <v>45658</v>
      </c>
      <c r="AB2" s="8">
        <v>45665</v>
      </c>
      <c r="AC2" s="8">
        <v>45672</v>
      </c>
      <c r="AD2" s="8">
        <v>45679</v>
      </c>
      <c r="AE2" s="8">
        <v>45686</v>
      </c>
      <c r="AF2" s="19" t="s">
        <v>75</v>
      </c>
    </row>
    <row r="3" spans="1:32">
      <c r="A3" t="s">
        <v>3</v>
      </c>
      <c r="B3" t="s">
        <v>4</v>
      </c>
      <c r="C3" s="23">
        <v>15</v>
      </c>
      <c r="D3" s="5">
        <v>41</v>
      </c>
      <c r="E3" s="5">
        <v>41</v>
      </c>
      <c r="F3" s="5">
        <v>40</v>
      </c>
      <c r="G3" s="5">
        <v>38</v>
      </c>
      <c r="H3" s="5">
        <v>40</v>
      </c>
      <c r="I3" s="24">
        <f>IF(D3&gt;=40, 40*15, D3*15)</f>
        <v>600</v>
      </c>
      <c r="J3" s="24">
        <f>IF(E3&gt;=40, 40*15, E3*15)</f>
        <v>600</v>
      </c>
      <c r="K3" s="25">
        <f>IF(F3&gt;=40, 40*15, F3*15)</f>
        <v>600</v>
      </c>
      <c r="L3" s="24">
        <f>IF(G3&gt;=40, 40*15,G3*15)</f>
        <v>570</v>
      </c>
      <c r="M3" s="24">
        <f>IF(H3&gt;=40, 40*15, H3*15)</f>
        <v>600</v>
      </c>
      <c r="N3" s="24">
        <f>SUM(I3,J3,K3,L3,M3)</f>
        <v>2970</v>
      </c>
      <c r="O3" s="26">
        <f>C3/2</f>
        <v>7.5</v>
      </c>
      <c r="P3" s="14">
        <f>IF(D3&gt;40, D3-40, 0)</f>
        <v>1</v>
      </c>
      <c r="Q3" s="14">
        <f>IF(E3&gt;40, E3-40, 0)</f>
        <v>1</v>
      </c>
      <c r="R3" s="14">
        <f>IF(F3&gt;=40, F3-40, 0)</f>
        <v>0</v>
      </c>
      <c r="S3" s="14">
        <f>IF(G3&gt;=40, G3-40, 0)</f>
        <v>0</v>
      </c>
      <c r="T3" s="14">
        <f>IF(H3&gt;40, H3-40, 0)</f>
        <v>0</v>
      </c>
      <c r="U3" s="12">
        <f>O3*P3</f>
        <v>7.5</v>
      </c>
      <c r="V3" s="12">
        <f>O3*Q3</f>
        <v>7.5</v>
      </c>
      <c r="W3" s="12">
        <f>O3*R3</f>
        <v>0</v>
      </c>
      <c r="X3" s="12">
        <f>O3*S3</f>
        <v>0</v>
      </c>
      <c r="Y3" s="12">
        <f>O3*T3</f>
        <v>0</v>
      </c>
      <c r="Z3" s="12">
        <f>SUM(U3,V3,W3,X3,Y3)</f>
        <v>15</v>
      </c>
      <c r="AA3" s="17">
        <f>I3+U3</f>
        <v>607.5</v>
      </c>
      <c r="AB3" s="17">
        <f>J3+V3</f>
        <v>607.5</v>
      </c>
      <c r="AC3" s="17">
        <f>K3+W3</f>
        <v>600</v>
      </c>
      <c r="AD3" s="17">
        <f>L3+X3</f>
        <v>570</v>
      </c>
      <c r="AE3" s="17">
        <f>M3+Y3</f>
        <v>600</v>
      </c>
      <c r="AF3" s="20">
        <f>SUM(AA3,AB3,AC3,AD3,AE3)</f>
        <v>2985</v>
      </c>
    </row>
    <row r="4" spans="1:32">
      <c r="A4" t="s">
        <v>5</v>
      </c>
      <c r="B4" t="s">
        <v>6</v>
      </c>
      <c r="C4" s="23">
        <v>15</v>
      </c>
      <c r="D4" s="5">
        <v>39</v>
      </c>
      <c r="E4" s="5">
        <v>40</v>
      </c>
      <c r="F4" s="5">
        <v>42</v>
      </c>
      <c r="G4" s="5">
        <v>39</v>
      </c>
      <c r="H4" s="5">
        <v>42</v>
      </c>
      <c r="I4" s="24">
        <f t="shared" ref="I4" si="0">IF(D4&gt;=40, 40*15, D4*15)</f>
        <v>585</v>
      </c>
      <c r="J4" s="24">
        <f t="shared" ref="J4" si="1">IF(E4&gt;=40, 40*15, E4*15)</f>
        <v>600</v>
      </c>
      <c r="K4" s="25">
        <f t="shared" ref="K4" si="2">IF(F4&gt;=40, 40*15, F4*15)</f>
        <v>600</v>
      </c>
      <c r="L4" s="24">
        <f t="shared" ref="L4" si="3">IF(G4&gt;=40, 40*15,G4*15)</f>
        <v>585</v>
      </c>
      <c r="M4" s="24">
        <f t="shared" ref="M4" si="4">IF(H4&gt;=40, 40*15, H4*15)</f>
        <v>600</v>
      </c>
      <c r="N4" s="24">
        <f t="shared" ref="N4:N32" si="5">SUM(I4,J4,K4,L4,M4)</f>
        <v>2970</v>
      </c>
      <c r="O4" s="26">
        <f t="shared" ref="O4:O32" si="6">C4/2</f>
        <v>7.5</v>
      </c>
      <c r="P4" s="14">
        <f t="shared" ref="P4:P32" si="7">IF(D4&gt;40, D4-40, 0)</f>
        <v>0</v>
      </c>
      <c r="Q4" s="14">
        <f t="shared" ref="Q4:Q32" si="8">IF(E4&gt;40, E4-40, 0)</f>
        <v>0</v>
      </c>
      <c r="R4" s="14">
        <f t="shared" ref="R4:R32" si="9">IF(F4&gt;=40, F4-40, 0)</f>
        <v>2</v>
      </c>
      <c r="S4" s="14">
        <f t="shared" ref="S4:S32" si="10">IF(G4&gt;=40, G4-40, 0)</f>
        <v>0</v>
      </c>
      <c r="T4" s="14">
        <f t="shared" ref="T4:T32" si="11">IF(H4&gt;40, H4-40, 0)</f>
        <v>2</v>
      </c>
      <c r="U4" s="12">
        <f t="shared" ref="U4:U32" si="12">O4*P4</f>
        <v>0</v>
      </c>
      <c r="V4" s="12">
        <f t="shared" ref="V4:V32" si="13">O4*Q4</f>
        <v>0</v>
      </c>
      <c r="W4" s="12">
        <f t="shared" ref="W4:W32" si="14">O4*R4</f>
        <v>15</v>
      </c>
      <c r="X4" s="12">
        <f t="shared" ref="X4:X32" si="15">O4*S4</f>
        <v>0</v>
      </c>
      <c r="Y4" s="12">
        <f t="shared" ref="Y4:Y32" si="16">O4*T4</f>
        <v>15</v>
      </c>
      <c r="Z4" s="12">
        <f t="shared" ref="Z4:Z32" si="17">SUM(U4,V4,W4,X4,Y4)</f>
        <v>30</v>
      </c>
      <c r="AA4" s="17">
        <f t="shared" ref="AA4:AA32" si="18">I4+U4</f>
        <v>585</v>
      </c>
      <c r="AB4" s="17">
        <f t="shared" ref="AB4:AB32" si="19">J4+V4</f>
        <v>600</v>
      </c>
      <c r="AC4" s="17">
        <f t="shared" ref="AC4:AC32" si="20">K4+W4</f>
        <v>615</v>
      </c>
      <c r="AD4" s="17">
        <f t="shared" ref="AD4:AD32" si="21">L4+X4</f>
        <v>585</v>
      </c>
      <c r="AE4" s="17">
        <f t="shared" ref="AE4:AE32" si="22">M4+Y4</f>
        <v>615</v>
      </c>
      <c r="AF4" s="20">
        <f t="shared" ref="AF4:AF32" si="23">SUM(AA4,AB4,AC4,AD4,AE4)</f>
        <v>3000</v>
      </c>
    </row>
    <row r="5" spans="1:32">
      <c r="A5" t="s">
        <v>7</v>
      </c>
      <c r="B5" t="s">
        <v>8</v>
      </c>
      <c r="C5" s="23">
        <v>13</v>
      </c>
      <c r="D5" s="5">
        <v>38</v>
      </c>
      <c r="E5" s="5">
        <v>40</v>
      </c>
      <c r="F5" s="5">
        <v>41</v>
      </c>
      <c r="G5" s="5">
        <v>38</v>
      </c>
      <c r="H5" s="5">
        <v>42</v>
      </c>
      <c r="I5" s="24">
        <f>IF(D5&gt;=40, 40*13, D5*13)</f>
        <v>494</v>
      </c>
      <c r="J5" s="24">
        <f t="shared" ref="J5:M5" si="24">IF(E5&gt;=40, 40*13, E5*13)</f>
        <v>520</v>
      </c>
      <c r="K5" s="24">
        <f t="shared" si="24"/>
        <v>520</v>
      </c>
      <c r="L5" s="24">
        <f t="shared" si="24"/>
        <v>494</v>
      </c>
      <c r="M5" s="24">
        <f t="shared" si="24"/>
        <v>520</v>
      </c>
      <c r="N5" s="24">
        <f t="shared" si="5"/>
        <v>2548</v>
      </c>
      <c r="O5" s="26">
        <f t="shared" si="6"/>
        <v>6.5</v>
      </c>
      <c r="P5" s="14">
        <f t="shared" si="7"/>
        <v>0</v>
      </c>
      <c r="Q5" s="14">
        <f t="shared" si="8"/>
        <v>0</v>
      </c>
      <c r="R5" s="14">
        <f t="shared" si="9"/>
        <v>1</v>
      </c>
      <c r="S5" s="14">
        <f t="shared" si="10"/>
        <v>0</v>
      </c>
      <c r="T5" s="14">
        <f t="shared" si="11"/>
        <v>2</v>
      </c>
      <c r="U5" s="12">
        <f t="shared" si="12"/>
        <v>0</v>
      </c>
      <c r="V5" s="12">
        <f t="shared" si="13"/>
        <v>0</v>
      </c>
      <c r="W5" s="12">
        <f t="shared" si="14"/>
        <v>6.5</v>
      </c>
      <c r="X5" s="12">
        <f t="shared" si="15"/>
        <v>0</v>
      </c>
      <c r="Y5" s="12">
        <f t="shared" si="16"/>
        <v>13</v>
      </c>
      <c r="Z5" s="12">
        <f t="shared" si="17"/>
        <v>19.5</v>
      </c>
      <c r="AA5" s="17">
        <f t="shared" si="18"/>
        <v>494</v>
      </c>
      <c r="AB5" s="17">
        <f t="shared" si="19"/>
        <v>520</v>
      </c>
      <c r="AC5" s="17">
        <f t="shared" si="20"/>
        <v>526.5</v>
      </c>
      <c r="AD5" s="17">
        <f t="shared" si="21"/>
        <v>494</v>
      </c>
      <c r="AE5" s="17">
        <f t="shared" si="22"/>
        <v>533</v>
      </c>
      <c r="AF5" s="20">
        <f t="shared" si="23"/>
        <v>2567.5</v>
      </c>
    </row>
    <row r="6" spans="1:32">
      <c r="A6" t="s">
        <v>9</v>
      </c>
      <c r="B6" t="s">
        <v>10</v>
      </c>
      <c r="C6" s="23">
        <v>14</v>
      </c>
      <c r="D6" s="5">
        <v>44</v>
      </c>
      <c r="E6" s="5">
        <v>39</v>
      </c>
      <c r="F6" s="5">
        <v>43</v>
      </c>
      <c r="G6" s="5">
        <v>37</v>
      </c>
      <c r="H6" s="5">
        <v>43</v>
      </c>
      <c r="I6" s="24">
        <f>IF(D6&gt;=40, 40*14, D6*14)</f>
        <v>560</v>
      </c>
      <c r="J6" s="24">
        <f t="shared" ref="J6:M6" si="25">IF(E6&gt;=40, 40*14, E6*14)</f>
        <v>546</v>
      </c>
      <c r="K6" s="24">
        <f t="shared" si="25"/>
        <v>560</v>
      </c>
      <c r="L6" s="24">
        <f t="shared" si="25"/>
        <v>518</v>
      </c>
      <c r="M6" s="24">
        <f t="shared" si="25"/>
        <v>560</v>
      </c>
      <c r="N6" s="24">
        <f t="shared" si="5"/>
        <v>2744</v>
      </c>
      <c r="O6" s="26">
        <f t="shared" si="6"/>
        <v>7</v>
      </c>
      <c r="P6" s="14">
        <f t="shared" si="7"/>
        <v>4</v>
      </c>
      <c r="Q6" s="14">
        <f t="shared" si="8"/>
        <v>0</v>
      </c>
      <c r="R6" s="14">
        <f t="shared" si="9"/>
        <v>3</v>
      </c>
      <c r="S6" s="14">
        <f t="shared" si="10"/>
        <v>0</v>
      </c>
      <c r="T6" s="14">
        <f t="shared" si="11"/>
        <v>3</v>
      </c>
      <c r="U6" s="12">
        <f t="shared" si="12"/>
        <v>28</v>
      </c>
      <c r="V6" s="12">
        <f t="shared" si="13"/>
        <v>0</v>
      </c>
      <c r="W6" s="12">
        <f t="shared" si="14"/>
        <v>21</v>
      </c>
      <c r="X6" s="12">
        <f t="shared" si="15"/>
        <v>0</v>
      </c>
      <c r="Y6" s="12">
        <f t="shared" si="16"/>
        <v>21</v>
      </c>
      <c r="Z6" s="12">
        <f t="shared" si="17"/>
        <v>70</v>
      </c>
      <c r="AA6" s="17">
        <f t="shared" si="18"/>
        <v>588</v>
      </c>
      <c r="AB6" s="17">
        <f t="shared" si="19"/>
        <v>546</v>
      </c>
      <c r="AC6" s="17">
        <f t="shared" si="20"/>
        <v>581</v>
      </c>
      <c r="AD6" s="17">
        <f t="shared" si="21"/>
        <v>518</v>
      </c>
      <c r="AE6" s="17">
        <f t="shared" si="22"/>
        <v>581</v>
      </c>
      <c r="AF6" s="20">
        <f t="shared" si="23"/>
        <v>2814</v>
      </c>
    </row>
    <row r="7" spans="1:32">
      <c r="A7" t="s">
        <v>11</v>
      </c>
      <c r="B7" t="s">
        <v>12</v>
      </c>
      <c r="C7" s="23">
        <v>12</v>
      </c>
      <c r="D7" s="5">
        <v>40</v>
      </c>
      <c r="E7" s="5">
        <v>37</v>
      </c>
      <c r="F7" s="5">
        <v>44</v>
      </c>
      <c r="G7" s="5">
        <v>38</v>
      </c>
      <c r="H7" s="5">
        <v>40</v>
      </c>
      <c r="I7" s="24">
        <f>IF(D7&gt;=40, 40*12, D7*12)</f>
        <v>480</v>
      </c>
      <c r="J7" s="24">
        <f t="shared" ref="J7:M7" si="26">IF(E7&gt;=40, 40*12, E7*12)</f>
        <v>444</v>
      </c>
      <c r="K7" s="24">
        <f t="shared" si="26"/>
        <v>480</v>
      </c>
      <c r="L7" s="24">
        <f t="shared" si="26"/>
        <v>456</v>
      </c>
      <c r="M7" s="24">
        <f t="shared" si="26"/>
        <v>480</v>
      </c>
      <c r="N7" s="24">
        <f t="shared" si="5"/>
        <v>2340</v>
      </c>
      <c r="O7" s="26">
        <f t="shared" si="6"/>
        <v>6</v>
      </c>
      <c r="P7" s="14">
        <f t="shared" si="7"/>
        <v>0</v>
      </c>
      <c r="Q7" s="14">
        <f t="shared" si="8"/>
        <v>0</v>
      </c>
      <c r="R7" s="14">
        <f t="shared" si="9"/>
        <v>4</v>
      </c>
      <c r="S7" s="14">
        <f t="shared" si="10"/>
        <v>0</v>
      </c>
      <c r="T7" s="14">
        <f t="shared" si="11"/>
        <v>0</v>
      </c>
      <c r="U7" s="12">
        <f t="shared" si="12"/>
        <v>0</v>
      </c>
      <c r="V7" s="12">
        <f t="shared" si="13"/>
        <v>0</v>
      </c>
      <c r="W7" s="12">
        <f t="shared" si="14"/>
        <v>24</v>
      </c>
      <c r="X7" s="12">
        <f t="shared" si="15"/>
        <v>0</v>
      </c>
      <c r="Y7" s="12">
        <f t="shared" si="16"/>
        <v>0</v>
      </c>
      <c r="Z7" s="12">
        <f t="shared" si="17"/>
        <v>24</v>
      </c>
      <c r="AA7" s="17">
        <f t="shared" si="18"/>
        <v>480</v>
      </c>
      <c r="AB7" s="17">
        <f t="shared" si="19"/>
        <v>444</v>
      </c>
      <c r="AC7" s="17">
        <f t="shared" si="20"/>
        <v>504</v>
      </c>
      <c r="AD7" s="17">
        <f t="shared" si="21"/>
        <v>456</v>
      </c>
      <c r="AE7" s="17">
        <f t="shared" si="22"/>
        <v>480</v>
      </c>
      <c r="AF7" s="20">
        <f t="shared" si="23"/>
        <v>2364</v>
      </c>
    </row>
    <row r="8" spans="1:32">
      <c r="A8" t="s">
        <v>13</v>
      </c>
      <c r="B8" t="s">
        <v>14</v>
      </c>
      <c r="C8" s="23">
        <v>11</v>
      </c>
      <c r="D8" s="5">
        <v>42</v>
      </c>
      <c r="E8" s="5">
        <v>39</v>
      </c>
      <c r="F8" s="5">
        <v>40</v>
      </c>
      <c r="G8" s="5">
        <v>39</v>
      </c>
      <c r="H8" s="5">
        <v>37</v>
      </c>
      <c r="I8" s="27">
        <f>IF(D8&gt;=40, 40*C8, D8*C8)</f>
        <v>440</v>
      </c>
      <c r="J8" s="27">
        <f>IF(E8&gt;=40, 40*C8, E8*C8)</f>
        <v>429</v>
      </c>
      <c r="K8" s="27">
        <f>IF(F8&gt;=40, 40*C8, F8*C8)</f>
        <v>440</v>
      </c>
      <c r="L8" s="27">
        <f>IF(G8&gt;=40, 40*C8, G8*C8)</f>
        <v>429</v>
      </c>
      <c r="M8" s="27">
        <f>IF(H8&gt;=40, 40*C8, H8*C8)</f>
        <v>407</v>
      </c>
      <c r="N8" s="24">
        <f t="shared" si="5"/>
        <v>2145</v>
      </c>
      <c r="O8" s="26">
        <f t="shared" si="6"/>
        <v>5.5</v>
      </c>
      <c r="P8" s="14">
        <f t="shared" si="7"/>
        <v>2</v>
      </c>
      <c r="Q8" s="14">
        <f t="shared" si="8"/>
        <v>0</v>
      </c>
      <c r="R8" s="14">
        <f t="shared" si="9"/>
        <v>0</v>
      </c>
      <c r="S8" s="14">
        <f t="shared" si="10"/>
        <v>0</v>
      </c>
      <c r="T8" s="14">
        <f t="shared" si="11"/>
        <v>0</v>
      </c>
      <c r="U8" s="12">
        <f t="shared" si="12"/>
        <v>11</v>
      </c>
      <c r="V8" s="12">
        <f t="shared" si="13"/>
        <v>0</v>
      </c>
      <c r="W8" s="12">
        <f t="shared" si="14"/>
        <v>0</v>
      </c>
      <c r="X8" s="12">
        <f t="shared" si="15"/>
        <v>0</v>
      </c>
      <c r="Y8" s="12">
        <f t="shared" si="16"/>
        <v>0</v>
      </c>
      <c r="Z8" s="12">
        <f t="shared" si="17"/>
        <v>11</v>
      </c>
      <c r="AA8" s="17">
        <f t="shared" si="18"/>
        <v>451</v>
      </c>
      <c r="AB8" s="17">
        <f t="shared" si="19"/>
        <v>429</v>
      </c>
      <c r="AC8" s="17">
        <f t="shared" si="20"/>
        <v>440</v>
      </c>
      <c r="AD8" s="17">
        <f t="shared" si="21"/>
        <v>429</v>
      </c>
      <c r="AE8" s="17">
        <f t="shared" si="22"/>
        <v>407</v>
      </c>
      <c r="AF8" s="20">
        <f t="shared" si="23"/>
        <v>2156</v>
      </c>
    </row>
    <row r="9" spans="1:32">
      <c r="A9" t="s">
        <v>15</v>
      </c>
      <c r="B9" t="s">
        <v>16</v>
      </c>
      <c r="C9" s="23">
        <v>17</v>
      </c>
      <c r="D9" s="5">
        <v>43</v>
      </c>
      <c r="E9" s="5">
        <v>36</v>
      </c>
      <c r="F9" s="5">
        <v>39</v>
      </c>
      <c r="G9" s="5">
        <v>36</v>
      </c>
      <c r="H9" s="5">
        <v>39</v>
      </c>
      <c r="I9" s="27">
        <f t="shared" ref="I9:I32" si="27">IF(D9&gt;=40, 40*C9, D9*C9)</f>
        <v>680</v>
      </c>
      <c r="J9" s="27">
        <f t="shared" ref="J9:J32" si="28">IF(E9&gt;=40, 40*C9, E9*C9)</f>
        <v>612</v>
      </c>
      <c r="K9" s="27">
        <f t="shared" ref="K9:K32" si="29">IF(F9&gt;=40, 40*C9, F9*C9)</f>
        <v>663</v>
      </c>
      <c r="L9" s="27">
        <f t="shared" ref="L9:L32" si="30">IF(G9&gt;=40, 40*C9, G9*C9)</f>
        <v>612</v>
      </c>
      <c r="M9" s="27">
        <f t="shared" ref="M9:M32" si="31">IF(H9&gt;=40, 40*C9, H9*C9)</f>
        <v>663</v>
      </c>
      <c r="N9" s="24">
        <f t="shared" si="5"/>
        <v>3230</v>
      </c>
      <c r="O9" s="26">
        <f t="shared" si="6"/>
        <v>8.5</v>
      </c>
      <c r="P9" s="14">
        <f t="shared" si="7"/>
        <v>3</v>
      </c>
      <c r="Q9" s="14">
        <f t="shared" si="8"/>
        <v>0</v>
      </c>
      <c r="R9" s="14">
        <f t="shared" si="9"/>
        <v>0</v>
      </c>
      <c r="S9" s="14">
        <f t="shared" si="10"/>
        <v>0</v>
      </c>
      <c r="T9" s="14">
        <f t="shared" si="11"/>
        <v>0</v>
      </c>
      <c r="U9" s="12">
        <f t="shared" si="12"/>
        <v>25.5</v>
      </c>
      <c r="V9" s="12">
        <f t="shared" si="13"/>
        <v>0</v>
      </c>
      <c r="W9" s="12">
        <f t="shared" si="14"/>
        <v>0</v>
      </c>
      <c r="X9" s="12">
        <f t="shared" si="15"/>
        <v>0</v>
      </c>
      <c r="Y9" s="12">
        <f t="shared" si="16"/>
        <v>0</v>
      </c>
      <c r="Z9" s="12">
        <f t="shared" si="17"/>
        <v>25.5</v>
      </c>
      <c r="AA9" s="17">
        <f t="shared" si="18"/>
        <v>705.5</v>
      </c>
      <c r="AB9" s="17">
        <f t="shared" si="19"/>
        <v>612</v>
      </c>
      <c r="AC9" s="17">
        <f t="shared" si="20"/>
        <v>663</v>
      </c>
      <c r="AD9" s="17">
        <f t="shared" si="21"/>
        <v>612</v>
      </c>
      <c r="AE9" s="17">
        <f t="shared" si="22"/>
        <v>663</v>
      </c>
      <c r="AF9" s="20">
        <f t="shared" si="23"/>
        <v>3255.5</v>
      </c>
    </row>
    <row r="10" spans="1:32">
      <c r="A10" t="s">
        <v>17</v>
      </c>
      <c r="B10" t="s">
        <v>18</v>
      </c>
      <c r="C10" s="23">
        <v>14</v>
      </c>
      <c r="D10" s="5">
        <v>39</v>
      </c>
      <c r="E10" s="5">
        <v>40</v>
      </c>
      <c r="F10" s="5">
        <v>38</v>
      </c>
      <c r="G10" s="5">
        <v>35</v>
      </c>
      <c r="H10" s="5">
        <v>38</v>
      </c>
      <c r="I10" s="27">
        <f t="shared" si="27"/>
        <v>546</v>
      </c>
      <c r="J10" s="27">
        <f t="shared" si="28"/>
        <v>560</v>
      </c>
      <c r="K10" s="27">
        <f t="shared" si="29"/>
        <v>532</v>
      </c>
      <c r="L10" s="27">
        <f t="shared" si="30"/>
        <v>490</v>
      </c>
      <c r="M10" s="27">
        <f t="shared" si="31"/>
        <v>532</v>
      </c>
      <c r="N10" s="24">
        <f t="shared" si="5"/>
        <v>2660</v>
      </c>
      <c r="O10" s="26">
        <f t="shared" si="6"/>
        <v>7</v>
      </c>
      <c r="P10" s="14">
        <f t="shared" si="7"/>
        <v>0</v>
      </c>
      <c r="Q10" s="14">
        <f t="shared" si="8"/>
        <v>0</v>
      </c>
      <c r="R10" s="14">
        <f t="shared" si="9"/>
        <v>0</v>
      </c>
      <c r="S10" s="14">
        <f t="shared" si="10"/>
        <v>0</v>
      </c>
      <c r="T10" s="14">
        <f t="shared" si="11"/>
        <v>0</v>
      </c>
      <c r="U10" s="12">
        <f t="shared" si="12"/>
        <v>0</v>
      </c>
      <c r="V10" s="12">
        <f t="shared" si="13"/>
        <v>0</v>
      </c>
      <c r="W10" s="12">
        <f t="shared" si="14"/>
        <v>0</v>
      </c>
      <c r="X10" s="12">
        <f t="shared" si="15"/>
        <v>0</v>
      </c>
      <c r="Y10" s="12">
        <f t="shared" si="16"/>
        <v>0</v>
      </c>
      <c r="Z10" s="12">
        <f t="shared" si="17"/>
        <v>0</v>
      </c>
      <c r="AA10" s="17">
        <f t="shared" si="18"/>
        <v>546</v>
      </c>
      <c r="AB10" s="17">
        <f t="shared" si="19"/>
        <v>560</v>
      </c>
      <c r="AC10" s="17">
        <f t="shared" si="20"/>
        <v>532</v>
      </c>
      <c r="AD10" s="17">
        <f t="shared" si="21"/>
        <v>490</v>
      </c>
      <c r="AE10" s="17">
        <f t="shared" si="22"/>
        <v>532</v>
      </c>
      <c r="AF10" s="20">
        <f t="shared" si="23"/>
        <v>2660</v>
      </c>
    </row>
    <row r="11" spans="1:32">
      <c r="A11" t="s">
        <v>19</v>
      </c>
      <c r="B11" t="s">
        <v>20</v>
      </c>
      <c r="C11" s="23">
        <v>12</v>
      </c>
      <c r="D11" s="5">
        <v>38</v>
      </c>
      <c r="E11" s="5">
        <v>41</v>
      </c>
      <c r="F11" s="5">
        <v>40</v>
      </c>
      <c r="G11" s="5">
        <v>40</v>
      </c>
      <c r="H11" s="5">
        <v>37</v>
      </c>
      <c r="I11" s="27">
        <f t="shared" si="27"/>
        <v>456</v>
      </c>
      <c r="J11" s="27">
        <f t="shared" si="28"/>
        <v>480</v>
      </c>
      <c r="K11" s="27">
        <f t="shared" si="29"/>
        <v>480</v>
      </c>
      <c r="L11" s="27">
        <f t="shared" si="30"/>
        <v>480</v>
      </c>
      <c r="M11" s="27">
        <f t="shared" si="31"/>
        <v>444</v>
      </c>
      <c r="N11" s="24">
        <f t="shared" si="5"/>
        <v>2340</v>
      </c>
      <c r="O11" s="26">
        <f t="shared" si="6"/>
        <v>6</v>
      </c>
      <c r="P11" s="14">
        <f t="shared" si="7"/>
        <v>0</v>
      </c>
      <c r="Q11" s="14">
        <f t="shared" si="8"/>
        <v>1</v>
      </c>
      <c r="R11" s="14">
        <f t="shared" si="9"/>
        <v>0</v>
      </c>
      <c r="S11" s="14">
        <f t="shared" si="10"/>
        <v>0</v>
      </c>
      <c r="T11" s="14">
        <f t="shared" si="11"/>
        <v>0</v>
      </c>
      <c r="U11" s="12">
        <f t="shared" si="12"/>
        <v>0</v>
      </c>
      <c r="V11" s="12">
        <f t="shared" si="13"/>
        <v>6</v>
      </c>
      <c r="W11" s="12">
        <f t="shared" si="14"/>
        <v>0</v>
      </c>
      <c r="X11" s="12">
        <f t="shared" si="15"/>
        <v>0</v>
      </c>
      <c r="Y11" s="12">
        <f t="shared" si="16"/>
        <v>0</v>
      </c>
      <c r="Z11" s="12">
        <f t="shared" si="17"/>
        <v>6</v>
      </c>
      <c r="AA11" s="17">
        <f t="shared" si="18"/>
        <v>456</v>
      </c>
      <c r="AB11" s="17">
        <f t="shared" si="19"/>
        <v>486</v>
      </c>
      <c r="AC11" s="17">
        <f t="shared" si="20"/>
        <v>480</v>
      </c>
      <c r="AD11" s="17">
        <f t="shared" si="21"/>
        <v>480</v>
      </c>
      <c r="AE11" s="17">
        <f t="shared" si="22"/>
        <v>444</v>
      </c>
      <c r="AF11" s="20">
        <f t="shared" si="23"/>
        <v>2346</v>
      </c>
    </row>
    <row r="12" spans="1:32">
      <c r="A12" t="s">
        <v>21</v>
      </c>
      <c r="B12" t="s">
        <v>22</v>
      </c>
      <c r="C12" s="23">
        <v>13</v>
      </c>
      <c r="D12" s="5">
        <v>38</v>
      </c>
      <c r="E12" s="5">
        <v>42</v>
      </c>
      <c r="F12" s="5">
        <v>38</v>
      </c>
      <c r="G12" s="5">
        <v>40</v>
      </c>
      <c r="H12" s="5">
        <v>36</v>
      </c>
      <c r="I12" s="27">
        <f t="shared" si="27"/>
        <v>494</v>
      </c>
      <c r="J12" s="27">
        <f t="shared" si="28"/>
        <v>520</v>
      </c>
      <c r="K12" s="27">
        <f t="shared" si="29"/>
        <v>494</v>
      </c>
      <c r="L12" s="27">
        <f t="shared" si="30"/>
        <v>520</v>
      </c>
      <c r="M12" s="27">
        <f t="shared" si="31"/>
        <v>468</v>
      </c>
      <c r="N12" s="24">
        <f t="shared" si="5"/>
        <v>2496</v>
      </c>
      <c r="O12" s="26">
        <f t="shared" si="6"/>
        <v>6.5</v>
      </c>
      <c r="P12" s="14">
        <f t="shared" si="7"/>
        <v>0</v>
      </c>
      <c r="Q12" s="14">
        <f t="shared" si="8"/>
        <v>2</v>
      </c>
      <c r="R12" s="14">
        <f t="shared" si="9"/>
        <v>0</v>
      </c>
      <c r="S12" s="14">
        <f t="shared" si="10"/>
        <v>0</v>
      </c>
      <c r="T12" s="14">
        <f t="shared" si="11"/>
        <v>0</v>
      </c>
      <c r="U12" s="12">
        <f t="shared" si="12"/>
        <v>0</v>
      </c>
      <c r="V12" s="12">
        <f t="shared" si="13"/>
        <v>13</v>
      </c>
      <c r="W12" s="12">
        <f t="shared" si="14"/>
        <v>0</v>
      </c>
      <c r="X12" s="12">
        <f t="shared" si="15"/>
        <v>0</v>
      </c>
      <c r="Y12" s="12">
        <f t="shared" si="16"/>
        <v>0</v>
      </c>
      <c r="Z12" s="12">
        <f t="shared" si="17"/>
        <v>13</v>
      </c>
      <c r="AA12" s="17">
        <f t="shared" si="18"/>
        <v>494</v>
      </c>
      <c r="AB12" s="17">
        <f t="shared" si="19"/>
        <v>533</v>
      </c>
      <c r="AC12" s="17">
        <f t="shared" si="20"/>
        <v>494</v>
      </c>
      <c r="AD12" s="17">
        <f t="shared" si="21"/>
        <v>520</v>
      </c>
      <c r="AE12" s="17">
        <f t="shared" si="22"/>
        <v>468</v>
      </c>
      <c r="AF12" s="20">
        <f t="shared" si="23"/>
        <v>2509</v>
      </c>
    </row>
    <row r="13" spans="1:32">
      <c r="A13" t="s">
        <v>23</v>
      </c>
      <c r="B13" t="s">
        <v>24</v>
      </c>
      <c r="C13" s="23">
        <v>10</v>
      </c>
      <c r="D13" s="5">
        <v>37</v>
      </c>
      <c r="E13" s="5">
        <v>43</v>
      </c>
      <c r="F13" s="5">
        <v>39</v>
      </c>
      <c r="G13" s="5">
        <v>40</v>
      </c>
      <c r="H13" s="5">
        <v>35</v>
      </c>
      <c r="I13" s="27">
        <f t="shared" si="27"/>
        <v>370</v>
      </c>
      <c r="J13" s="27">
        <f t="shared" si="28"/>
        <v>400</v>
      </c>
      <c r="K13" s="27">
        <f t="shared" si="29"/>
        <v>390</v>
      </c>
      <c r="L13" s="27">
        <f t="shared" si="30"/>
        <v>400</v>
      </c>
      <c r="M13" s="27">
        <f t="shared" si="31"/>
        <v>350</v>
      </c>
      <c r="N13" s="24">
        <f t="shared" si="5"/>
        <v>1910</v>
      </c>
      <c r="O13" s="26">
        <f t="shared" si="6"/>
        <v>5</v>
      </c>
      <c r="P13" s="14">
        <f t="shared" si="7"/>
        <v>0</v>
      </c>
      <c r="Q13" s="14">
        <f t="shared" si="8"/>
        <v>3</v>
      </c>
      <c r="R13" s="14">
        <f t="shared" si="9"/>
        <v>0</v>
      </c>
      <c r="S13" s="14">
        <f t="shared" si="10"/>
        <v>0</v>
      </c>
      <c r="T13" s="14">
        <f t="shared" si="11"/>
        <v>0</v>
      </c>
      <c r="U13" s="12">
        <f t="shared" si="12"/>
        <v>0</v>
      </c>
      <c r="V13" s="12">
        <f t="shared" si="13"/>
        <v>15</v>
      </c>
      <c r="W13" s="12">
        <f t="shared" si="14"/>
        <v>0</v>
      </c>
      <c r="X13" s="12">
        <f t="shared" si="15"/>
        <v>0</v>
      </c>
      <c r="Y13" s="12">
        <f t="shared" si="16"/>
        <v>0</v>
      </c>
      <c r="Z13" s="12">
        <f t="shared" si="17"/>
        <v>15</v>
      </c>
      <c r="AA13" s="17">
        <f t="shared" si="18"/>
        <v>370</v>
      </c>
      <c r="AB13" s="17">
        <f t="shared" si="19"/>
        <v>415</v>
      </c>
      <c r="AC13" s="17">
        <f t="shared" si="20"/>
        <v>390</v>
      </c>
      <c r="AD13" s="17">
        <f t="shared" si="21"/>
        <v>400</v>
      </c>
      <c r="AE13" s="17">
        <f t="shared" si="22"/>
        <v>350</v>
      </c>
      <c r="AF13" s="20">
        <f t="shared" si="23"/>
        <v>1925</v>
      </c>
    </row>
    <row r="14" spans="1:32">
      <c r="A14" t="s">
        <v>25</v>
      </c>
      <c r="B14" t="s">
        <v>26</v>
      </c>
      <c r="C14" s="23">
        <v>10</v>
      </c>
      <c r="D14" s="5">
        <v>37</v>
      </c>
      <c r="E14" s="5">
        <v>40</v>
      </c>
      <c r="F14" s="5">
        <v>37</v>
      </c>
      <c r="G14" s="5">
        <v>38</v>
      </c>
      <c r="H14" s="5">
        <v>40</v>
      </c>
      <c r="I14" s="27">
        <f t="shared" si="27"/>
        <v>370</v>
      </c>
      <c r="J14" s="27">
        <f t="shared" si="28"/>
        <v>400</v>
      </c>
      <c r="K14" s="27">
        <f t="shared" si="29"/>
        <v>370</v>
      </c>
      <c r="L14" s="27">
        <f t="shared" si="30"/>
        <v>380</v>
      </c>
      <c r="M14" s="27">
        <f t="shared" si="31"/>
        <v>400</v>
      </c>
      <c r="N14" s="24">
        <f t="shared" si="5"/>
        <v>1920</v>
      </c>
      <c r="O14" s="26">
        <f t="shared" si="6"/>
        <v>5</v>
      </c>
      <c r="P14" s="14">
        <f t="shared" si="7"/>
        <v>0</v>
      </c>
      <c r="Q14" s="14">
        <f t="shared" si="8"/>
        <v>0</v>
      </c>
      <c r="R14" s="14">
        <f t="shared" si="9"/>
        <v>0</v>
      </c>
      <c r="S14" s="14">
        <f t="shared" si="10"/>
        <v>0</v>
      </c>
      <c r="T14" s="14">
        <f t="shared" si="11"/>
        <v>0</v>
      </c>
      <c r="U14" s="12">
        <f t="shared" si="12"/>
        <v>0</v>
      </c>
      <c r="V14" s="12">
        <f t="shared" si="13"/>
        <v>0</v>
      </c>
      <c r="W14" s="12">
        <f t="shared" si="14"/>
        <v>0</v>
      </c>
      <c r="X14" s="12">
        <f t="shared" si="15"/>
        <v>0</v>
      </c>
      <c r="Y14" s="12">
        <f t="shared" si="16"/>
        <v>0</v>
      </c>
      <c r="Z14" s="12">
        <f t="shared" si="17"/>
        <v>0</v>
      </c>
      <c r="AA14" s="17">
        <f t="shared" si="18"/>
        <v>370</v>
      </c>
      <c r="AB14" s="17">
        <f t="shared" si="19"/>
        <v>400</v>
      </c>
      <c r="AC14" s="17">
        <f t="shared" si="20"/>
        <v>370</v>
      </c>
      <c r="AD14" s="17">
        <f t="shared" si="21"/>
        <v>380</v>
      </c>
      <c r="AE14" s="17">
        <f t="shared" si="22"/>
        <v>400</v>
      </c>
      <c r="AF14" s="20">
        <f t="shared" si="23"/>
        <v>1920</v>
      </c>
    </row>
    <row r="15" spans="1:32">
      <c r="A15" t="s">
        <v>27</v>
      </c>
      <c r="B15" t="s">
        <v>28</v>
      </c>
      <c r="C15" s="23">
        <v>12</v>
      </c>
      <c r="D15" s="5">
        <v>39</v>
      </c>
      <c r="E15" s="5">
        <v>38</v>
      </c>
      <c r="F15" s="5">
        <v>40</v>
      </c>
      <c r="G15" s="5">
        <v>38</v>
      </c>
      <c r="H15" s="5">
        <v>41</v>
      </c>
      <c r="I15" s="27">
        <f t="shared" si="27"/>
        <v>468</v>
      </c>
      <c r="J15" s="27">
        <f t="shared" si="28"/>
        <v>456</v>
      </c>
      <c r="K15" s="27">
        <f t="shared" si="29"/>
        <v>480</v>
      </c>
      <c r="L15" s="27">
        <f t="shared" si="30"/>
        <v>456</v>
      </c>
      <c r="M15" s="27">
        <f t="shared" si="31"/>
        <v>480</v>
      </c>
      <c r="N15" s="24">
        <f t="shared" si="5"/>
        <v>2340</v>
      </c>
      <c r="O15" s="26">
        <f t="shared" si="6"/>
        <v>6</v>
      </c>
      <c r="P15" s="14">
        <f t="shared" si="7"/>
        <v>0</v>
      </c>
      <c r="Q15" s="14">
        <f t="shared" si="8"/>
        <v>0</v>
      </c>
      <c r="R15" s="14">
        <f t="shared" si="9"/>
        <v>0</v>
      </c>
      <c r="S15" s="14">
        <f t="shared" si="10"/>
        <v>0</v>
      </c>
      <c r="T15" s="14">
        <f t="shared" si="11"/>
        <v>1</v>
      </c>
      <c r="U15" s="12">
        <f t="shared" si="12"/>
        <v>0</v>
      </c>
      <c r="V15" s="12">
        <f t="shared" si="13"/>
        <v>0</v>
      </c>
      <c r="W15" s="12">
        <f t="shared" si="14"/>
        <v>0</v>
      </c>
      <c r="X15" s="12">
        <f t="shared" si="15"/>
        <v>0</v>
      </c>
      <c r="Y15" s="12">
        <f t="shared" si="16"/>
        <v>6</v>
      </c>
      <c r="Z15" s="12">
        <f t="shared" si="17"/>
        <v>6</v>
      </c>
      <c r="AA15" s="17">
        <f t="shared" si="18"/>
        <v>468</v>
      </c>
      <c r="AB15" s="17">
        <f t="shared" si="19"/>
        <v>456</v>
      </c>
      <c r="AC15" s="17">
        <f t="shared" si="20"/>
        <v>480</v>
      </c>
      <c r="AD15" s="17">
        <f t="shared" si="21"/>
        <v>456</v>
      </c>
      <c r="AE15" s="17">
        <f t="shared" si="22"/>
        <v>486</v>
      </c>
      <c r="AF15" s="20">
        <f t="shared" si="23"/>
        <v>2346</v>
      </c>
    </row>
    <row r="16" spans="1:32">
      <c r="A16" t="s">
        <v>29</v>
      </c>
      <c r="B16" t="s">
        <v>30</v>
      </c>
      <c r="C16" s="23">
        <v>13</v>
      </c>
      <c r="D16" s="5">
        <v>39</v>
      </c>
      <c r="E16" s="5">
        <v>39</v>
      </c>
      <c r="F16" s="5">
        <v>41</v>
      </c>
      <c r="G16" s="5">
        <v>38</v>
      </c>
      <c r="H16" s="5">
        <v>42</v>
      </c>
      <c r="I16" s="27">
        <f t="shared" si="27"/>
        <v>507</v>
      </c>
      <c r="J16" s="27">
        <f t="shared" si="28"/>
        <v>507</v>
      </c>
      <c r="K16" s="27">
        <f t="shared" si="29"/>
        <v>520</v>
      </c>
      <c r="L16" s="27">
        <f t="shared" si="30"/>
        <v>494</v>
      </c>
      <c r="M16" s="27">
        <f t="shared" si="31"/>
        <v>520</v>
      </c>
      <c r="N16" s="24">
        <f t="shared" si="5"/>
        <v>2548</v>
      </c>
      <c r="O16" s="26">
        <f t="shared" si="6"/>
        <v>6.5</v>
      </c>
      <c r="P16" s="14">
        <f t="shared" si="7"/>
        <v>0</v>
      </c>
      <c r="Q16" s="14">
        <f t="shared" si="8"/>
        <v>0</v>
      </c>
      <c r="R16" s="14">
        <f t="shared" si="9"/>
        <v>1</v>
      </c>
      <c r="S16" s="14">
        <f t="shared" si="10"/>
        <v>0</v>
      </c>
      <c r="T16" s="14">
        <f t="shared" si="11"/>
        <v>2</v>
      </c>
      <c r="U16" s="12">
        <f t="shared" si="12"/>
        <v>0</v>
      </c>
      <c r="V16" s="12">
        <f t="shared" si="13"/>
        <v>0</v>
      </c>
      <c r="W16" s="12">
        <f t="shared" si="14"/>
        <v>6.5</v>
      </c>
      <c r="X16" s="12">
        <f t="shared" si="15"/>
        <v>0</v>
      </c>
      <c r="Y16" s="12">
        <f t="shared" si="16"/>
        <v>13</v>
      </c>
      <c r="Z16" s="12">
        <f t="shared" si="17"/>
        <v>19.5</v>
      </c>
      <c r="AA16" s="17">
        <f t="shared" si="18"/>
        <v>507</v>
      </c>
      <c r="AB16" s="17">
        <f t="shared" si="19"/>
        <v>507</v>
      </c>
      <c r="AC16" s="17">
        <f t="shared" si="20"/>
        <v>526.5</v>
      </c>
      <c r="AD16" s="17">
        <f t="shared" si="21"/>
        <v>494</v>
      </c>
      <c r="AE16" s="17">
        <f t="shared" si="22"/>
        <v>533</v>
      </c>
      <c r="AF16" s="20">
        <f t="shared" si="23"/>
        <v>2567.5</v>
      </c>
    </row>
    <row r="17" spans="1:32">
      <c r="A17" t="s">
        <v>31</v>
      </c>
      <c r="B17" t="s">
        <v>32</v>
      </c>
      <c r="C17" s="23">
        <v>12</v>
      </c>
      <c r="D17" s="5">
        <v>38</v>
      </c>
      <c r="E17" s="5">
        <v>38</v>
      </c>
      <c r="F17" s="5">
        <v>42</v>
      </c>
      <c r="G17" s="5">
        <v>40</v>
      </c>
      <c r="H17" s="5">
        <v>43</v>
      </c>
      <c r="I17" s="27">
        <f t="shared" si="27"/>
        <v>456</v>
      </c>
      <c r="J17" s="27">
        <f t="shared" si="28"/>
        <v>456</v>
      </c>
      <c r="K17" s="27">
        <f t="shared" si="29"/>
        <v>480</v>
      </c>
      <c r="L17" s="27">
        <f t="shared" si="30"/>
        <v>480</v>
      </c>
      <c r="M17" s="27">
        <f t="shared" si="31"/>
        <v>480</v>
      </c>
      <c r="N17" s="24">
        <f t="shared" si="5"/>
        <v>2352</v>
      </c>
      <c r="O17" s="26">
        <f t="shared" si="6"/>
        <v>6</v>
      </c>
      <c r="P17" s="14">
        <f t="shared" si="7"/>
        <v>0</v>
      </c>
      <c r="Q17" s="14">
        <f t="shared" si="8"/>
        <v>0</v>
      </c>
      <c r="R17" s="14">
        <f t="shared" si="9"/>
        <v>2</v>
      </c>
      <c r="S17" s="14">
        <f t="shared" si="10"/>
        <v>0</v>
      </c>
      <c r="T17" s="14">
        <f t="shared" si="11"/>
        <v>3</v>
      </c>
      <c r="U17" s="12">
        <f t="shared" si="12"/>
        <v>0</v>
      </c>
      <c r="V17" s="12">
        <f t="shared" si="13"/>
        <v>0</v>
      </c>
      <c r="W17" s="12">
        <f t="shared" si="14"/>
        <v>12</v>
      </c>
      <c r="X17" s="12">
        <f t="shared" si="15"/>
        <v>0</v>
      </c>
      <c r="Y17" s="12">
        <f t="shared" si="16"/>
        <v>18</v>
      </c>
      <c r="Z17" s="12">
        <f t="shared" si="17"/>
        <v>30</v>
      </c>
      <c r="AA17" s="17">
        <f t="shared" si="18"/>
        <v>456</v>
      </c>
      <c r="AB17" s="17">
        <f t="shared" si="19"/>
        <v>456</v>
      </c>
      <c r="AC17" s="17">
        <f t="shared" si="20"/>
        <v>492</v>
      </c>
      <c r="AD17" s="17">
        <f t="shared" si="21"/>
        <v>480</v>
      </c>
      <c r="AE17" s="17">
        <f t="shared" si="22"/>
        <v>498</v>
      </c>
      <c r="AF17" s="20">
        <f t="shared" si="23"/>
        <v>2382</v>
      </c>
    </row>
    <row r="18" spans="1:32">
      <c r="A18" t="s">
        <v>33</v>
      </c>
      <c r="B18" t="s">
        <v>34</v>
      </c>
      <c r="C18" s="23">
        <v>14</v>
      </c>
      <c r="D18" s="5">
        <v>40</v>
      </c>
      <c r="E18" s="5">
        <v>37</v>
      </c>
      <c r="F18" s="5">
        <v>43</v>
      </c>
      <c r="G18" s="5">
        <v>41</v>
      </c>
      <c r="H18" s="5">
        <v>40</v>
      </c>
      <c r="I18" s="27">
        <f t="shared" si="27"/>
        <v>560</v>
      </c>
      <c r="J18" s="27">
        <f t="shared" si="28"/>
        <v>518</v>
      </c>
      <c r="K18" s="27">
        <f t="shared" si="29"/>
        <v>560</v>
      </c>
      <c r="L18" s="27">
        <f t="shared" si="30"/>
        <v>560</v>
      </c>
      <c r="M18" s="27">
        <f t="shared" si="31"/>
        <v>560</v>
      </c>
      <c r="N18" s="24">
        <f t="shared" si="5"/>
        <v>2758</v>
      </c>
      <c r="O18" s="26">
        <f t="shared" si="6"/>
        <v>7</v>
      </c>
      <c r="P18" s="14">
        <f t="shared" si="7"/>
        <v>0</v>
      </c>
      <c r="Q18" s="14">
        <f t="shared" si="8"/>
        <v>0</v>
      </c>
      <c r="R18" s="14">
        <f t="shared" si="9"/>
        <v>3</v>
      </c>
      <c r="S18" s="14">
        <f t="shared" si="10"/>
        <v>1</v>
      </c>
      <c r="T18" s="14">
        <f t="shared" si="11"/>
        <v>0</v>
      </c>
      <c r="U18" s="12">
        <f t="shared" si="12"/>
        <v>0</v>
      </c>
      <c r="V18" s="12">
        <f t="shared" si="13"/>
        <v>0</v>
      </c>
      <c r="W18" s="12">
        <f t="shared" si="14"/>
        <v>21</v>
      </c>
      <c r="X18" s="12">
        <f t="shared" si="15"/>
        <v>7</v>
      </c>
      <c r="Y18" s="12">
        <f t="shared" si="16"/>
        <v>0</v>
      </c>
      <c r="Z18" s="12">
        <f t="shared" si="17"/>
        <v>28</v>
      </c>
      <c r="AA18" s="17">
        <f t="shared" si="18"/>
        <v>560</v>
      </c>
      <c r="AB18" s="17">
        <f t="shared" si="19"/>
        <v>518</v>
      </c>
      <c r="AC18" s="17">
        <f t="shared" si="20"/>
        <v>581</v>
      </c>
      <c r="AD18" s="17">
        <f t="shared" si="21"/>
        <v>567</v>
      </c>
      <c r="AE18" s="17">
        <f t="shared" si="22"/>
        <v>560</v>
      </c>
      <c r="AF18" s="20">
        <f t="shared" si="23"/>
        <v>2786</v>
      </c>
    </row>
    <row r="19" spans="1:32">
      <c r="A19" t="s">
        <v>35</v>
      </c>
      <c r="B19" t="s">
        <v>36</v>
      </c>
      <c r="C19" s="23">
        <v>15</v>
      </c>
      <c r="D19" s="5">
        <v>41</v>
      </c>
      <c r="E19" s="5">
        <v>36</v>
      </c>
      <c r="F19" s="5">
        <v>37</v>
      </c>
      <c r="G19" s="5">
        <v>43</v>
      </c>
      <c r="H19" s="5">
        <v>40</v>
      </c>
      <c r="I19" s="27">
        <f t="shared" si="27"/>
        <v>600</v>
      </c>
      <c r="J19" s="27">
        <f t="shared" si="28"/>
        <v>540</v>
      </c>
      <c r="K19" s="27">
        <f t="shared" si="29"/>
        <v>555</v>
      </c>
      <c r="L19" s="27">
        <f t="shared" si="30"/>
        <v>600</v>
      </c>
      <c r="M19" s="27">
        <f t="shared" si="31"/>
        <v>600</v>
      </c>
      <c r="N19" s="24">
        <f t="shared" si="5"/>
        <v>2895</v>
      </c>
      <c r="O19" s="26">
        <f t="shared" si="6"/>
        <v>7.5</v>
      </c>
      <c r="P19" s="14">
        <f t="shared" si="7"/>
        <v>1</v>
      </c>
      <c r="Q19" s="14">
        <f t="shared" si="8"/>
        <v>0</v>
      </c>
      <c r="R19" s="14">
        <f t="shared" si="9"/>
        <v>0</v>
      </c>
      <c r="S19" s="14">
        <f t="shared" si="10"/>
        <v>3</v>
      </c>
      <c r="T19" s="14">
        <f t="shared" si="11"/>
        <v>0</v>
      </c>
      <c r="U19" s="12">
        <f t="shared" si="12"/>
        <v>7.5</v>
      </c>
      <c r="V19" s="12">
        <f t="shared" si="13"/>
        <v>0</v>
      </c>
      <c r="W19" s="12">
        <f t="shared" si="14"/>
        <v>0</v>
      </c>
      <c r="X19" s="12">
        <f t="shared" si="15"/>
        <v>22.5</v>
      </c>
      <c r="Y19" s="12">
        <f t="shared" si="16"/>
        <v>0</v>
      </c>
      <c r="Z19" s="12">
        <f t="shared" si="17"/>
        <v>30</v>
      </c>
      <c r="AA19" s="17">
        <f t="shared" si="18"/>
        <v>607.5</v>
      </c>
      <c r="AB19" s="17">
        <f t="shared" si="19"/>
        <v>540</v>
      </c>
      <c r="AC19" s="17">
        <f t="shared" si="20"/>
        <v>555</v>
      </c>
      <c r="AD19" s="17">
        <f t="shared" si="21"/>
        <v>622.5</v>
      </c>
      <c r="AE19" s="17">
        <f t="shared" si="22"/>
        <v>600</v>
      </c>
      <c r="AF19" s="20">
        <f t="shared" si="23"/>
        <v>2925</v>
      </c>
    </row>
    <row r="20" spans="1:32">
      <c r="A20" t="s">
        <v>37</v>
      </c>
      <c r="B20" t="s">
        <v>38</v>
      </c>
      <c r="C20" s="23">
        <v>15</v>
      </c>
      <c r="D20" s="5">
        <v>42</v>
      </c>
      <c r="E20" s="5">
        <v>41</v>
      </c>
      <c r="F20" s="5">
        <v>38</v>
      </c>
      <c r="G20" s="5">
        <v>43</v>
      </c>
      <c r="H20" s="5">
        <v>41</v>
      </c>
      <c r="I20" s="27">
        <f t="shared" si="27"/>
        <v>600</v>
      </c>
      <c r="J20" s="27">
        <f t="shared" si="28"/>
        <v>600</v>
      </c>
      <c r="K20" s="27">
        <f t="shared" si="29"/>
        <v>570</v>
      </c>
      <c r="L20" s="27">
        <f t="shared" si="30"/>
        <v>600</v>
      </c>
      <c r="M20" s="27">
        <f t="shared" si="31"/>
        <v>600</v>
      </c>
      <c r="N20" s="24">
        <f t="shared" si="5"/>
        <v>2970</v>
      </c>
      <c r="O20" s="26">
        <f t="shared" si="6"/>
        <v>7.5</v>
      </c>
      <c r="P20" s="14">
        <f t="shared" si="7"/>
        <v>2</v>
      </c>
      <c r="Q20" s="14">
        <f t="shared" si="8"/>
        <v>1</v>
      </c>
      <c r="R20" s="14">
        <f t="shared" si="9"/>
        <v>0</v>
      </c>
      <c r="S20" s="14">
        <f t="shared" si="10"/>
        <v>3</v>
      </c>
      <c r="T20" s="14">
        <f t="shared" si="11"/>
        <v>1</v>
      </c>
      <c r="U20" s="12">
        <f t="shared" si="12"/>
        <v>15</v>
      </c>
      <c r="V20" s="12">
        <f t="shared" si="13"/>
        <v>7.5</v>
      </c>
      <c r="W20" s="12">
        <f t="shared" si="14"/>
        <v>0</v>
      </c>
      <c r="X20" s="12">
        <f t="shared" si="15"/>
        <v>22.5</v>
      </c>
      <c r="Y20" s="12">
        <f t="shared" si="16"/>
        <v>7.5</v>
      </c>
      <c r="Z20" s="12">
        <f t="shared" si="17"/>
        <v>52.5</v>
      </c>
      <c r="AA20" s="17">
        <f t="shared" si="18"/>
        <v>615</v>
      </c>
      <c r="AB20" s="17">
        <f t="shared" si="19"/>
        <v>607.5</v>
      </c>
      <c r="AC20" s="17">
        <f t="shared" si="20"/>
        <v>570</v>
      </c>
      <c r="AD20" s="17">
        <f t="shared" si="21"/>
        <v>622.5</v>
      </c>
      <c r="AE20" s="17">
        <f t="shared" si="22"/>
        <v>607.5</v>
      </c>
      <c r="AF20" s="20">
        <f t="shared" si="23"/>
        <v>3022.5</v>
      </c>
    </row>
    <row r="21" spans="1:32">
      <c r="A21" t="s">
        <v>39</v>
      </c>
      <c r="B21" t="s">
        <v>40</v>
      </c>
      <c r="C21" s="23">
        <v>13</v>
      </c>
      <c r="D21" s="5">
        <v>43</v>
      </c>
      <c r="E21" s="5">
        <v>42</v>
      </c>
      <c r="F21" s="5">
        <v>40</v>
      </c>
      <c r="G21" s="5">
        <v>31</v>
      </c>
      <c r="H21" s="5">
        <v>40</v>
      </c>
      <c r="I21" s="27">
        <f t="shared" si="27"/>
        <v>520</v>
      </c>
      <c r="J21" s="27">
        <f t="shared" si="28"/>
        <v>520</v>
      </c>
      <c r="K21" s="27">
        <f t="shared" si="29"/>
        <v>520</v>
      </c>
      <c r="L21" s="27">
        <f t="shared" si="30"/>
        <v>403</v>
      </c>
      <c r="M21" s="27">
        <f t="shared" si="31"/>
        <v>520</v>
      </c>
      <c r="N21" s="24">
        <f t="shared" si="5"/>
        <v>2483</v>
      </c>
      <c r="O21" s="26">
        <f t="shared" si="6"/>
        <v>6.5</v>
      </c>
      <c r="P21" s="14">
        <f t="shared" si="7"/>
        <v>3</v>
      </c>
      <c r="Q21" s="14">
        <f t="shared" si="8"/>
        <v>2</v>
      </c>
      <c r="R21" s="14">
        <f t="shared" si="9"/>
        <v>0</v>
      </c>
      <c r="S21" s="14">
        <f t="shared" si="10"/>
        <v>0</v>
      </c>
      <c r="T21" s="14">
        <f t="shared" si="11"/>
        <v>0</v>
      </c>
      <c r="U21" s="12">
        <f t="shared" si="12"/>
        <v>19.5</v>
      </c>
      <c r="V21" s="12">
        <f t="shared" si="13"/>
        <v>13</v>
      </c>
      <c r="W21" s="12">
        <f t="shared" si="14"/>
        <v>0</v>
      </c>
      <c r="X21" s="12">
        <f t="shared" si="15"/>
        <v>0</v>
      </c>
      <c r="Y21" s="12">
        <f t="shared" si="16"/>
        <v>0</v>
      </c>
      <c r="Z21" s="12">
        <f t="shared" si="17"/>
        <v>32.5</v>
      </c>
      <c r="AA21" s="17">
        <f t="shared" si="18"/>
        <v>539.5</v>
      </c>
      <c r="AB21" s="17">
        <f t="shared" si="19"/>
        <v>533</v>
      </c>
      <c r="AC21" s="17">
        <f t="shared" si="20"/>
        <v>520</v>
      </c>
      <c r="AD21" s="17">
        <f t="shared" si="21"/>
        <v>403</v>
      </c>
      <c r="AE21" s="17">
        <f t="shared" si="22"/>
        <v>520</v>
      </c>
      <c r="AF21" s="20">
        <f t="shared" si="23"/>
        <v>2515.5</v>
      </c>
    </row>
    <row r="22" spans="1:32">
      <c r="A22" t="s">
        <v>41</v>
      </c>
      <c r="B22" t="s">
        <v>42</v>
      </c>
      <c r="C22" s="23">
        <v>14</v>
      </c>
      <c r="D22" s="5">
        <v>40</v>
      </c>
      <c r="E22" s="5">
        <v>42</v>
      </c>
      <c r="F22" s="5">
        <v>42</v>
      </c>
      <c r="G22" s="5">
        <v>42</v>
      </c>
      <c r="H22" s="5">
        <v>39</v>
      </c>
      <c r="I22" s="27">
        <f t="shared" si="27"/>
        <v>560</v>
      </c>
      <c r="J22" s="27">
        <f t="shared" si="28"/>
        <v>560</v>
      </c>
      <c r="K22" s="27">
        <f t="shared" si="29"/>
        <v>560</v>
      </c>
      <c r="L22" s="27">
        <f t="shared" si="30"/>
        <v>560</v>
      </c>
      <c r="M22" s="27">
        <f t="shared" si="31"/>
        <v>546</v>
      </c>
      <c r="N22" s="24">
        <f t="shared" si="5"/>
        <v>2786</v>
      </c>
      <c r="O22" s="26">
        <f t="shared" si="6"/>
        <v>7</v>
      </c>
      <c r="P22" s="14">
        <f t="shared" si="7"/>
        <v>0</v>
      </c>
      <c r="Q22" s="14">
        <f t="shared" si="8"/>
        <v>2</v>
      </c>
      <c r="R22" s="14">
        <f t="shared" si="9"/>
        <v>2</v>
      </c>
      <c r="S22" s="14">
        <f t="shared" si="10"/>
        <v>2</v>
      </c>
      <c r="T22" s="14">
        <f t="shared" si="11"/>
        <v>0</v>
      </c>
      <c r="U22" s="12">
        <f t="shared" si="12"/>
        <v>0</v>
      </c>
      <c r="V22" s="12">
        <f t="shared" si="13"/>
        <v>14</v>
      </c>
      <c r="W22" s="12">
        <f t="shared" si="14"/>
        <v>14</v>
      </c>
      <c r="X22" s="12">
        <f t="shared" si="15"/>
        <v>14</v>
      </c>
      <c r="Y22" s="12">
        <f t="shared" si="16"/>
        <v>0</v>
      </c>
      <c r="Z22" s="12">
        <f t="shared" si="17"/>
        <v>42</v>
      </c>
      <c r="AA22" s="17">
        <f t="shared" si="18"/>
        <v>560</v>
      </c>
      <c r="AB22" s="17">
        <f t="shared" si="19"/>
        <v>574</v>
      </c>
      <c r="AC22" s="17">
        <f t="shared" si="20"/>
        <v>574</v>
      </c>
      <c r="AD22" s="17">
        <f t="shared" si="21"/>
        <v>574</v>
      </c>
      <c r="AE22" s="17">
        <f t="shared" si="22"/>
        <v>546</v>
      </c>
      <c r="AF22" s="20">
        <f t="shared" si="23"/>
        <v>2828</v>
      </c>
    </row>
    <row r="23" spans="1:32">
      <c r="A23" t="s">
        <v>43</v>
      </c>
      <c r="B23" t="s">
        <v>44</v>
      </c>
      <c r="C23" s="23">
        <v>12</v>
      </c>
      <c r="D23" s="5">
        <v>39</v>
      </c>
      <c r="E23" s="5">
        <v>43</v>
      </c>
      <c r="F23" s="5">
        <v>43</v>
      </c>
      <c r="G23" s="5">
        <v>40</v>
      </c>
      <c r="H23" s="5">
        <v>38</v>
      </c>
      <c r="I23" s="27">
        <f t="shared" si="27"/>
        <v>468</v>
      </c>
      <c r="J23" s="27">
        <f t="shared" si="28"/>
        <v>480</v>
      </c>
      <c r="K23" s="27">
        <f t="shared" si="29"/>
        <v>480</v>
      </c>
      <c r="L23" s="27">
        <f t="shared" si="30"/>
        <v>480</v>
      </c>
      <c r="M23" s="27">
        <f t="shared" si="31"/>
        <v>456</v>
      </c>
      <c r="N23" s="24">
        <f t="shared" si="5"/>
        <v>2364</v>
      </c>
      <c r="O23" s="26">
        <f t="shared" si="6"/>
        <v>6</v>
      </c>
      <c r="P23" s="14">
        <f t="shared" si="7"/>
        <v>0</v>
      </c>
      <c r="Q23" s="14">
        <f t="shared" si="8"/>
        <v>3</v>
      </c>
      <c r="R23" s="14">
        <f t="shared" si="9"/>
        <v>3</v>
      </c>
      <c r="S23" s="14">
        <f t="shared" si="10"/>
        <v>0</v>
      </c>
      <c r="T23" s="14">
        <f t="shared" si="11"/>
        <v>0</v>
      </c>
      <c r="U23" s="12">
        <f t="shared" si="12"/>
        <v>0</v>
      </c>
      <c r="V23" s="12">
        <f t="shared" si="13"/>
        <v>18</v>
      </c>
      <c r="W23" s="12">
        <f t="shared" si="14"/>
        <v>18</v>
      </c>
      <c r="X23" s="12">
        <f t="shared" si="15"/>
        <v>0</v>
      </c>
      <c r="Y23" s="12">
        <f t="shared" si="16"/>
        <v>0</v>
      </c>
      <c r="Z23" s="12">
        <f t="shared" si="17"/>
        <v>36</v>
      </c>
      <c r="AA23" s="17">
        <f t="shared" si="18"/>
        <v>468</v>
      </c>
      <c r="AB23" s="17">
        <f t="shared" si="19"/>
        <v>498</v>
      </c>
      <c r="AC23" s="17">
        <f t="shared" si="20"/>
        <v>498</v>
      </c>
      <c r="AD23" s="17">
        <f t="shared" si="21"/>
        <v>480</v>
      </c>
      <c r="AE23" s="17">
        <f t="shared" si="22"/>
        <v>456</v>
      </c>
      <c r="AF23" s="20">
        <f t="shared" si="23"/>
        <v>2400</v>
      </c>
    </row>
    <row r="24" spans="1:32">
      <c r="A24" t="s">
        <v>45</v>
      </c>
      <c r="B24" t="s">
        <v>46</v>
      </c>
      <c r="C24" s="23">
        <v>14</v>
      </c>
      <c r="D24" s="5">
        <v>35</v>
      </c>
      <c r="E24" s="5">
        <v>40</v>
      </c>
      <c r="F24" s="5">
        <v>40</v>
      </c>
      <c r="G24" s="5">
        <v>37</v>
      </c>
      <c r="H24" s="5">
        <v>39</v>
      </c>
      <c r="I24" s="27">
        <f t="shared" si="27"/>
        <v>490</v>
      </c>
      <c r="J24" s="27">
        <f t="shared" si="28"/>
        <v>560</v>
      </c>
      <c r="K24" s="27">
        <f t="shared" si="29"/>
        <v>560</v>
      </c>
      <c r="L24" s="27">
        <f>IF(G24&gt;=40, 40*C24, G24*C24)</f>
        <v>518</v>
      </c>
      <c r="M24" s="27">
        <f t="shared" si="31"/>
        <v>546</v>
      </c>
      <c r="N24" s="24">
        <f t="shared" si="5"/>
        <v>2674</v>
      </c>
      <c r="O24" s="26">
        <f t="shared" si="6"/>
        <v>7</v>
      </c>
      <c r="P24" s="14">
        <f t="shared" si="7"/>
        <v>0</v>
      </c>
      <c r="Q24" s="14">
        <f t="shared" si="8"/>
        <v>0</v>
      </c>
      <c r="R24" s="14">
        <f t="shared" si="9"/>
        <v>0</v>
      </c>
      <c r="S24" s="14">
        <f t="shared" si="10"/>
        <v>0</v>
      </c>
      <c r="T24" s="14">
        <f t="shared" si="11"/>
        <v>0</v>
      </c>
      <c r="U24" s="12">
        <f t="shared" si="12"/>
        <v>0</v>
      </c>
      <c r="V24" s="12">
        <f t="shared" si="13"/>
        <v>0</v>
      </c>
      <c r="W24" s="12">
        <f t="shared" si="14"/>
        <v>0</v>
      </c>
      <c r="X24" s="12">
        <f t="shared" si="15"/>
        <v>0</v>
      </c>
      <c r="Y24" s="12">
        <f t="shared" si="16"/>
        <v>0</v>
      </c>
      <c r="Z24" s="12">
        <f t="shared" si="17"/>
        <v>0</v>
      </c>
      <c r="AA24" s="17">
        <f t="shared" si="18"/>
        <v>490</v>
      </c>
      <c r="AB24" s="17">
        <f t="shared" si="19"/>
        <v>560</v>
      </c>
      <c r="AC24" s="17">
        <f t="shared" si="20"/>
        <v>560</v>
      </c>
      <c r="AD24" s="17">
        <f t="shared" si="21"/>
        <v>518</v>
      </c>
      <c r="AE24" s="17">
        <f t="shared" si="22"/>
        <v>546</v>
      </c>
      <c r="AF24" s="20">
        <f t="shared" si="23"/>
        <v>2674</v>
      </c>
    </row>
    <row r="25" spans="1:32">
      <c r="A25" t="s">
        <v>47</v>
      </c>
      <c r="B25" t="s">
        <v>48</v>
      </c>
      <c r="C25" s="23">
        <v>12</v>
      </c>
      <c r="D25" s="5">
        <v>36</v>
      </c>
      <c r="E25" s="5">
        <v>40</v>
      </c>
      <c r="F25" s="5">
        <v>41</v>
      </c>
      <c r="G25" s="5">
        <v>39</v>
      </c>
      <c r="H25" s="5">
        <v>37</v>
      </c>
      <c r="I25" s="27">
        <f t="shared" si="27"/>
        <v>432</v>
      </c>
      <c r="J25" s="27">
        <f t="shared" si="28"/>
        <v>480</v>
      </c>
      <c r="K25" s="27">
        <f t="shared" si="29"/>
        <v>480</v>
      </c>
      <c r="L25" s="27">
        <f t="shared" si="30"/>
        <v>468</v>
      </c>
      <c r="M25" s="27">
        <f t="shared" si="31"/>
        <v>444</v>
      </c>
      <c r="N25" s="24">
        <f t="shared" si="5"/>
        <v>2304</v>
      </c>
      <c r="O25" s="26">
        <f t="shared" si="6"/>
        <v>6</v>
      </c>
      <c r="P25" s="14">
        <f t="shared" si="7"/>
        <v>0</v>
      </c>
      <c r="Q25" s="14">
        <f t="shared" si="8"/>
        <v>0</v>
      </c>
      <c r="R25" s="14">
        <f t="shared" si="9"/>
        <v>1</v>
      </c>
      <c r="S25" s="14">
        <f t="shared" si="10"/>
        <v>0</v>
      </c>
      <c r="T25" s="14">
        <f t="shared" si="11"/>
        <v>0</v>
      </c>
      <c r="U25" s="12">
        <f t="shared" si="12"/>
        <v>0</v>
      </c>
      <c r="V25" s="12">
        <f t="shared" si="13"/>
        <v>0</v>
      </c>
      <c r="W25" s="12">
        <f t="shared" si="14"/>
        <v>6</v>
      </c>
      <c r="X25" s="12">
        <f t="shared" si="15"/>
        <v>0</v>
      </c>
      <c r="Y25" s="12">
        <f t="shared" si="16"/>
        <v>0</v>
      </c>
      <c r="Z25" s="12">
        <f t="shared" si="17"/>
        <v>6</v>
      </c>
      <c r="AA25" s="17">
        <f t="shared" si="18"/>
        <v>432</v>
      </c>
      <c r="AB25" s="17">
        <f t="shared" si="19"/>
        <v>480</v>
      </c>
      <c r="AC25" s="17">
        <f t="shared" si="20"/>
        <v>486</v>
      </c>
      <c r="AD25" s="17">
        <f t="shared" si="21"/>
        <v>468</v>
      </c>
      <c r="AE25" s="17">
        <f t="shared" si="22"/>
        <v>444</v>
      </c>
      <c r="AF25" s="20">
        <f t="shared" si="23"/>
        <v>2310</v>
      </c>
    </row>
    <row r="26" spans="1:32">
      <c r="A26" t="s">
        <v>49</v>
      </c>
      <c r="B26" t="s">
        <v>50</v>
      </c>
      <c r="C26" s="23">
        <v>10</v>
      </c>
      <c r="D26" s="5">
        <v>37</v>
      </c>
      <c r="E26" s="5">
        <v>41</v>
      </c>
      <c r="F26" s="5">
        <v>42</v>
      </c>
      <c r="G26" s="5">
        <v>38</v>
      </c>
      <c r="H26" s="5">
        <v>39</v>
      </c>
      <c r="I26" s="27">
        <f t="shared" si="27"/>
        <v>370</v>
      </c>
      <c r="J26" s="27">
        <f t="shared" si="28"/>
        <v>400</v>
      </c>
      <c r="K26" s="27">
        <f t="shared" si="29"/>
        <v>400</v>
      </c>
      <c r="L26" s="27">
        <f t="shared" si="30"/>
        <v>380</v>
      </c>
      <c r="M26" s="27">
        <f t="shared" si="31"/>
        <v>390</v>
      </c>
      <c r="N26" s="24">
        <f t="shared" si="5"/>
        <v>1940</v>
      </c>
      <c r="O26" s="26">
        <f t="shared" si="6"/>
        <v>5</v>
      </c>
      <c r="P26" s="14">
        <f t="shared" si="7"/>
        <v>0</v>
      </c>
      <c r="Q26" s="14">
        <f t="shared" si="8"/>
        <v>1</v>
      </c>
      <c r="R26" s="14">
        <f t="shared" si="9"/>
        <v>2</v>
      </c>
      <c r="S26" s="14">
        <f t="shared" si="10"/>
        <v>0</v>
      </c>
      <c r="T26" s="14">
        <f t="shared" si="11"/>
        <v>0</v>
      </c>
      <c r="U26" s="12">
        <f t="shared" si="12"/>
        <v>0</v>
      </c>
      <c r="V26" s="12">
        <f t="shared" si="13"/>
        <v>5</v>
      </c>
      <c r="W26" s="12">
        <f t="shared" si="14"/>
        <v>10</v>
      </c>
      <c r="X26" s="12">
        <f t="shared" si="15"/>
        <v>0</v>
      </c>
      <c r="Y26" s="12">
        <f t="shared" si="16"/>
        <v>0</v>
      </c>
      <c r="Z26" s="12">
        <f t="shared" si="17"/>
        <v>15</v>
      </c>
      <c r="AA26" s="17">
        <f t="shared" si="18"/>
        <v>370</v>
      </c>
      <c r="AB26" s="17">
        <f t="shared" si="19"/>
        <v>405</v>
      </c>
      <c r="AC26" s="17">
        <f t="shared" si="20"/>
        <v>410</v>
      </c>
      <c r="AD26" s="17">
        <f t="shared" si="21"/>
        <v>380</v>
      </c>
      <c r="AE26" s="17">
        <f t="shared" si="22"/>
        <v>390</v>
      </c>
      <c r="AF26" s="20">
        <f t="shared" si="23"/>
        <v>1955</v>
      </c>
    </row>
    <row r="27" spans="1:32">
      <c r="A27" t="s">
        <v>51</v>
      </c>
      <c r="B27" t="s">
        <v>52</v>
      </c>
      <c r="C27" s="23">
        <v>17</v>
      </c>
      <c r="D27" s="5">
        <v>39</v>
      </c>
      <c r="E27" s="5">
        <v>42</v>
      </c>
      <c r="F27" s="5">
        <v>42</v>
      </c>
      <c r="G27" s="5">
        <v>37</v>
      </c>
      <c r="H27" s="5">
        <v>40</v>
      </c>
      <c r="I27" s="27">
        <f t="shared" si="27"/>
        <v>663</v>
      </c>
      <c r="J27" s="27">
        <f t="shared" si="28"/>
        <v>680</v>
      </c>
      <c r="K27" s="27">
        <f t="shared" si="29"/>
        <v>680</v>
      </c>
      <c r="L27" s="27">
        <f t="shared" si="30"/>
        <v>629</v>
      </c>
      <c r="M27" s="27">
        <f t="shared" si="31"/>
        <v>680</v>
      </c>
      <c r="N27" s="24">
        <f t="shared" si="5"/>
        <v>3332</v>
      </c>
      <c r="O27" s="26">
        <f t="shared" si="6"/>
        <v>8.5</v>
      </c>
      <c r="P27" s="14">
        <f t="shared" si="7"/>
        <v>0</v>
      </c>
      <c r="Q27" s="14">
        <f t="shared" si="8"/>
        <v>2</v>
      </c>
      <c r="R27" s="14">
        <f t="shared" si="9"/>
        <v>2</v>
      </c>
      <c r="S27" s="14">
        <f t="shared" si="10"/>
        <v>0</v>
      </c>
      <c r="T27" s="14">
        <f t="shared" si="11"/>
        <v>0</v>
      </c>
      <c r="U27" s="12">
        <f t="shared" si="12"/>
        <v>0</v>
      </c>
      <c r="V27" s="12">
        <f t="shared" si="13"/>
        <v>17</v>
      </c>
      <c r="W27" s="12">
        <f t="shared" si="14"/>
        <v>17</v>
      </c>
      <c r="X27" s="12">
        <f t="shared" si="15"/>
        <v>0</v>
      </c>
      <c r="Y27" s="12">
        <f t="shared" si="16"/>
        <v>0</v>
      </c>
      <c r="Z27" s="12">
        <f t="shared" si="17"/>
        <v>34</v>
      </c>
      <c r="AA27" s="17">
        <f t="shared" si="18"/>
        <v>663</v>
      </c>
      <c r="AB27" s="17">
        <f t="shared" si="19"/>
        <v>697</v>
      </c>
      <c r="AC27" s="17">
        <f t="shared" si="20"/>
        <v>697</v>
      </c>
      <c r="AD27" s="17">
        <f t="shared" si="21"/>
        <v>629</v>
      </c>
      <c r="AE27" s="17">
        <f t="shared" si="22"/>
        <v>680</v>
      </c>
      <c r="AF27" s="20">
        <f t="shared" si="23"/>
        <v>3366</v>
      </c>
    </row>
    <row r="28" spans="1:32">
      <c r="A28" t="s">
        <v>53</v>
      </c>
      <c r="B28" t="s">
        <v>54</v>
      </c>
      <c r="C28" s="23">
        <v>16</v>
      </c>
      <c r="D28" s="5">
        <v>40</v>
      </c>
      <c r="E28" s="5">
        <v>38</v>
      </c>
      <c r="F28" s="5">
        <v>40</v>
      </c>
      <c r="G28" s="5">
        <v>36</v>
      </c>
      <c r="H28" s="5">
        <v>40</v>
      </c>
      <c r="I28" s="27">
        <f t="shared" si="27"/>
        <v>640</v>
      </c>
      <c r="J28" s="27">
        <f t="shared" si="28"/>
        <v>608</v>
      </c>
      <c r="K28" s="27">
        <f t="shared" si="29"/>
        <v>640</v>
      </c>
      <c r="L28" s="27">
        <f t="shared" si="30"/>
        <v>576</v>
      </c>
      <c r="M28" s="27">
        <f t="shared" si="31"/>
        <v>640</v>
      </c>
      <c r="N28" s="24">
        <f t="shared" si="5"/>
        <v>3104</v>
      </c>
      <c r="O28" s="26">
        <f t="shared" si="6"/>
        <v>8</v>
      </c>
      <c r="P28" s="14">
        <f t="shared" si="7"/>
        <v>0</v>
      </c>
      <c r="Q28" s="14">
        <f t="shared" si="8"/>
        <v>0</v>
      </c>
      <c r="R28" s="14">
        <f t="shared" si="9"/>
        <v>0</v>
      </c>
      <c r="S28" s="14">
        <f t="shared" si="10"/>
        <v>0</v>
      </c>
      <c r="T28" s="14">
        <f t="shared" si="11"/>
        <v>0</v>
      </c>
      <c r="U28" s="12">
        <f t="shared" si="12"/>
        <v>0</v>
      </c>
      <c r="V28" s="12">
        <f t="shared" si="13"/>
        <v>0</v>
      </c>
      <c r="W28" s="12">
        <f t="shared" si="14"/>
        <v>0</v>
      </c>
      <c r="X28" s="12">
        <f t="shared" si="15"/>
        <v>0</v>
      </c>
      <c r="Y28" s="12">
        <f t="shared" si="16"/>
        <v>0</v>
      </c>
      <c r="Z28" s="12">
        <f t="shared" si="17"/>
        <v>0</v>
      </c>
      <c r="AA28" s="17">
        <f t="shared" si="18"/>
        <v>640</v>
      </c>
      <c r="AB28" s="17">
        <f t="shared" si="19"/>
        <v>608</v>
      </c>
      <c r="AC28" s="17">
        <f t="shared" si="20"/>
        <v>640</v>
      </c>
      <c r="AD28" s="17">
        <f t="shared" si="21"/>
        <v>576</v>
      </c>
      <c r="AE28" s="17">
        <f t="shared" si="22"/>
        <v>640</v>
      </c>
      <c r="AF28" s="20">
        <f t="shared" si="23"/>
        <v>3104</v>
      </c>
    </row>
    <row r="29" spans="1:32">
      <c r="A29" t="s">
        <v>55</v>
      </c>
      <c r="B29" t="s">
        <v>56</v>
      </c>
      <c r="C29" s="23">
        <v>15</v>
      </c>
      <c r="D29" s="5">
        <v>41</v>
      </c>
      <c r="E29" s="5">
        <v>39</v>
      </c>
      <c r="F29" s="5">
        <v>39</v>
      </c>
      <c r="G29" s="5">
        <v>38</v>
      </c>
      <c r="H29" s="5">
        <v>31</v>
      </c>
      <c r="I29" s="27">
        <f t="shared" si="27"/>
        <v>600</v>
      </c>
      <c r="J29" s="27">
        <f t="shared" si="28"/>
        <v>585</v>
      </c>
      <c r="K29" s="27">
        <f t="shared" si="29"/>
        <v>585</v>
      </c>
      <c r="L29" s="27">
        <f t="shared" si="30"/>
        <v>570</v>
      </c>
      <c r="M29" s="27">
        <f t="shared" si="31"/>
        <v>465</v>
      </c>
      <c r="N29" s="24">
        <f t="shared" si="5"/>
        <v>2805</v>
      </c>
      <c r="O29" s="26">
        <f t="shared" si="6"/>
        <v>7.5</v>
      </c>
      <c r="P29" s="14">
        <f t="shared" si="7"/>
        <v>1</v>
      </c>
      <c r="Q29" s="14">
        <f t="shared" si="8"/>
        <v>0</v>
      </c>
      <c r="R29" s="14">
        <f t="shared" si="9"/>
        <v>0</v>
      </c>
      <c r="S29" s="14">
        <f t="shared" si="10"/>
        <v>0</v>
      </c>
      <c r="T29" s="14">
        <f t="shared" si="11"/>
        <v>0</v>
      </c>
      <c r="U29" s="12">
        <f t="shared" si="12"/>
        <v>7.5</v>
      </c>
      <c r="V29" s="12">
        <f t="shared" si="13"/>
        <v>0</v>
      </c>
      <c r="W29" s="12">
        <f t="shared" si="14"/>
        <v>0</v>
      </c>
      <c r="X29" s="12">
        <f t="shared" si="15"/>
        <v>0</v>
      </c>
      <c r="Y29" s="12">
        <f t="shared" si="16"/>
        <v>0</v>
      </c>
      <c r="Z29" s="12">
        <f t="shared" si="17"/>
        <v>7.5</v>
      </c>
      <c r="AA29" s="17">
        <f t="shared" si="18"/>
        <v>607.5</v>
      </c>
      <c r="AB29" s="17">
        <f t="shared" si="19"/>
        <v>585</v>
      </c>
      <c r="AC29" s="17">
        <f t="shared" si="20"/>
        <v>585</v>
      </c>
      <c r="AD29" s="17">
        <f t="shared" si="21"/>
        <v>570</v>
      </c>
      <c r="AE29" s="17">
        <f t="shared" si="22"/>
        <v>465</v>
      </c>
      <c r="AF29" s="20">
        <f t="shared" si="23"/>
        <v>2812.5</v>
      </c>
    </row>
    <row r="30" spans="1:32">
      <c r="A30" t="s">
        <v>57</v>
      </c>
      <c r="B30" t="s">
        <v>58</v>
      </c>
      <c r="C30" s="23">
        <v>14</v>
      </c>
      <c r="D30" s="5">
        <v>39</v>
      </c>
      <c r="E30" s="5">
        <v>37</v>
      </c>
      <c r="F30" s="5">
        <v>38</v>
      </c>
      <c r="G30" s="5">
        <v>39</v>
      </c>
      <c r="H30" s="5">
        <v>32</v>
      </c>
      <c r="I30" s="27">
        <f t="shared" si="27"/>
        <v>546</v>
      </c>
      <c r="J30" s="27">
        <f t="shared" si="28"/>
        <v>518</v>
      </c>
      <c r="K30" s="27">
        <f t="shared" si="29"/>
        <v>532</v>
      </c>
      <c r="L30" s="27">
        <f t="shared" si="30"/>
        <v>546</v>
      </c>
      <c r="M30" s="27">
        <f t="shared" si="31"/>
        <v>448</v>
      </c>
      <c r="N30" s="24">
        <f t="shared" si="5"/>
        <v>2590</v>
      </c>
      <c r="O30" s="26">
        <f t="shared" si="6"/>
        <v>7</v>
      </c>
      <c r="P30" s="14">
        <f t="shared" si="7"/>
        <v>0</v>
      </c>
      <c r="Q30" s="14">
        <f t="shared" si="8"/>
        <v>0</v>
      </c>
      <c r="R30" s="14">
        <f t="shared" si="9"/>
        <v>0</v>
      </c>
      <c r="S30" s="14">
        <f t="shared" si="10"/>
        <v>0</v>
      </c>
      <c r="T30" s="14">
        <f t="shared" si="11"/>
        <v>0</v>
      </c>
      <c r="U30" s="12">
        <f t="shared" si="12"/>
        <v>0</v>
      </c>
      <c r="V30" s="12">
        <f t="shared" si="13"/>
        <v>0</v>
      </c>
      <c r="W30" s="12">
        <f t="shared" si="14"/>
        <v>0</v>
      </c>
      <c r="X30" s="12">
        <f t="shared" si="15"/>
        <v>0</v>
      </c>
      <c r="Y30" s="12">
        <f t="shared" si="16"/>
        <v>0</v>
      </c>
      <c r="Z30" s="12">
        <f t="shared" si="17"/>
        <v>0</v>
      </c>
      <c r="AA30" s="17">
        <f t="shared" si="18"/>
        <v>546</v>
      </c>
      <c r="AB30" s="17">
        <f t="shared" si="19"/>
        <v>518</v>
      </c>
      <c r="AC30" s="17">
        <f t="shared" si="20"/>
        <v>532</v>
      </c>
      <c r="AD30" s="17">
        <f t="shared" si="21"/>
        <v>546</v>
      </c>
      <c r="AE30" s="17">
        <f t="shared" si="22"/>
        <v>448</v>
      </c>
      <c r="AF30" s="20">
        <f t="shared" si="23"/>
        <v>2590</v>
      </c>
    </row>
    <row r="31" spans="1:32">
      <c r="A31" t="s">
        <v>59</v>
      </c>
      <c r="B31" t="s">
        <v>60</v>
      </c>
      <c r="C31" s="23">
        <v>15</v>
      </c>
      <c r="D31" s="5">
        <v>36</v>
      </c>
      <c r="E31" s="5">
        <v>37</v>
      </c>
      <c r="F31" s="5">
        <v>37</v>
      </c>
      <c r="G31" s="5">
        <v>39</v>
      </c>
      <c r="H31" s="5">
        <v>40</v>
      </c>
      <c r="I31" s="27">
        <f t="shared" si="27"/>
        <v>540</v>
      </c>
      <c r="J31" s="27">
        <f t="shared" si="28"/>
        <v>555</v>
      </c>
      <c r="K31" s="27">
        <f t="shared" si="29"/>
        <v>555</v>
      </c>
      <c r="L31" s="27">
        <f t="shared" si="30"/>
        <v>585</v>
      </c>
      <c r="M31" s="27">
        <f t="shared" si="31"/>
        <v>600</v>
      </c>
      <c r="N31" s="24">
        <f t="shared" si="5"/>
        <v>2835</v>
      </c>
      <c r="O31" s="26">
        <f t="shared" si="6"/>
        <v>7.5</v>
      </c>
      <c r="P31" s="14">
        <f t="shared" si="7"/>
        <v>0</v>
      </c>
      <c r="Q31" s="14">
        <f t="shared" si="8"/>
        <v>0</v>
      </c>
      <c r="R31" s="14">
        <f t="shared" si="9"/>
        <v>0</v>
      </c>
      <c r="S31" s="14">
        <f t="shared" si="10"/>
        <v>0</v>
      </c>
      <c r="T31" s="14">
        <f t="shared" si="11"/>
        <v>0</v>
      </c>
      <c r="U31" s="12">
        <f t="shared" si="12"/>
        <v>0</v>
      </c>
      <c r="V31" s="12">
        <f t="shared" si="13"/>
        <v>0</v>
      </c>
      <c r="W31" s="12">
        <f t="shared" si="14"/>
        <v>0</v>
      </c>
      <c r="X31" s="12">
        <f t="shared" si="15"/>
        <v>0</v>
      </c>
      <c r="Y31" s="12">
        <f t="shared" si="16"/>
        <v>0</v>
      </c>
      <c r="Z31" s="12">
        <f t="shared" si="17"/>
        <v>0</v>
      </c>
      <c r="AA31" s="17">
        <f t="shared" si="18"/>
        <v>540</v>
      </c>
      <c r="AB31" s="17">
        <f t="shared" si="19"/>
        <v>555</v>
      </c>
      <c r="AC31" s="17">
        <f t="shared" si="20"/>
        <v>555</v>
      </c>
      <c r="AD31" s="17">
        <f t="shared" si="21"/>
        <v>585</v>
      </c>
      <c r="AE31" s="17">
        <f t="shared" si="22"/>
        <v>600</v>
      </c>
      <c r="AF31" s="20">
        <f t="shared" si="23"/>
        <v>2835</v>
      </c>
    </row>
    <row r="32" spans="1:32">
      <c r="A32" t="s">
        <v>61</v>
      </c>
      <c r="B32" t="s">
        <v>62</v>
      </c>
      <c r="C32" s="23">
        <v>16</v>
      </c>
      <c r="D32" s="5">
        <v>35</v>
      </c>
      <c r="E32" s="5">
        <v>35</v>
      </c>
      <c r="F32" s="5">
        <v>40</v>
      </c>
      <c r="G32" s="5">
        <v>38</v>
      </c>
      <c r="H32" s="5">
        <v>40</v>
      </c>
      <c r="I32" s="27">
        <f t="shared" si="27"/>
        <v>560</v>
      </c>
      <c r="J32" s="27">
        <f t="shared" si="28"/>
        <v>560</v>
      </c>
      <c r="K32" s="27">
        <f t="shared" si="29"/>
        <v>640</v>
      </c>
      <c r="L32" s="27">
        <f t="shared" si="30"/>
        <v>608</v>
      </c>
      <c r="M32" s="27">
        <f t="shared" si="31"/>
        <v>640</v>
      </c>
      <c r="N32" s="24">
        <f t="shared" si="5"/>
        <v>3008</v>
      </c>
      <c r="O32" s="26">
        <f t="shared" si="6"/>
        <v>8</v>
      </c>
      <c r="P32" s="14">
        <f t="shared" si="7"/>
        <v>0</v>
      </c>
      <c r="Q32" s="14">
        <f t="shared" si="8"/>
        <v>0</v>
      </c>
      <c r="R32" s="14">
        <f t="shared" si="9"/>
        <v>0</v>
      </c>
      <c r="S32" s="14">
        <f t="shared" si="10"/>
        <v>0</v>
      </c>
      <c r="T32" s="14">
        <f t="shared" si="11"/>
        <v>0</v>
      </c>
      <c r="U32" s="12">
        <f t="shared" si="12"/>
        <v>0</v>
      </c>
      <c r="V32" s="12">
        <f t="shared" si="13"/>
        <v>0</v>
      </c>
      <c r="W32" s="12">
        <f t="shared" si="14"/>
        <v>0</v>
      </c>
      <c r="X32" s="12">
        <f t="shared" si="15"/>
        <v>0</v>
      </c>
      <c r="Y32" s="12">
        <f t="shared" si="16"/>
        <v>0</v>
      </c>
      <c r="Z32" s="12">
        <f t="shared" si="17"/>
        <v>0</v>
      </c>
      <c r="AA32" s="17">
        <f t="shared" si="18"/>
        <v>560</v>
      </c>
      <c r="AB32" s="17">
        <f t="shared" si="19"/>
        <v>560</v>
      </c>
      <c r="AC32" s="17">
        <f t="shared" si="20"/>
        <v>640</v>
      </c>
      <c r="AD32" s="17">
        <f t="shared" si="21"/>
        <v>608</v>
      </c>
      <c r="AE32" s="17">
        <f t="shared" si="22"/>
        <v>640</v>
      </c>
      <c r="AF32" s="20">
        <f t="shared" si="23"/>
        <v>3008</v>
      </c>
    </row>
    <row r="35" spans="1:8" ht="15.75">
      <c r="B35" s="8">
        <v>45658</v>
      </c>
      <c r="C35" s="8">
        <v>45665</v>
      </c>
      <c r="D35" s="8">
        <v>45672</v>
      </c>
      <c r="E35" s="8">
        <v>45679</v>
      </c>
      <c r="F35" s="8">
        <v>45686</v>
      </c>
      <c r="H35" s="21" t="s">
        <v>76</v>
      </c>
    </row>
    <row r="36" spans="1:8">
      <c r="A36" s="6" t="s">
        <v>63</v>
      </c>
      <c r="B36" s="16">
        <f>MAX(AA3,AA4,AA5,AA6,AA7,AA8,AA9,AA10,AA11,AA12,AA13,AA14,AA15,AA16,AA17,AA18,AA19,AA20,AA21,AA22,AA23,AA24,AA25,AA26,AA27,AA28,AA29,AA30,AA31,AA32)</f>
        <v>705.5</v>
      </c>
      <c r="C36" s="16">
        <f t="shared" ref="C36:F36" si="32">MAX(AB3,AB4,AB5,AB6,AB7,AB8,AB9,AB10,AB11,AB12,AB13,AB14,AB15,AB16,AB17,AB18,AB19,AB20,AB21,AB22,AB23,AB24,AB25,AB26,AB27,AB28,AB29,AB30,AB31,AB32)</f>
        <v>697</v>
      </c>
      <c r="D36" s="16">
        <f t="shared" si="32"/>
        <v>697</v>
      </c>
      <c r="E36" s="16">
        <f t="shared" si="32"/>
        <v>629</v>
      </c>
      <c r="F36" s="16">
        <f t="shared" si="32"/>
        <v>680</v>
      </c>
      <c r="G36" s="16"/>
      <c r="H36" s="16">
        <f>MAX(AF3:AF32)</f>
        <v>3366</v>
      </c>
    </row>
    <row r="37" spans="1:8">
      <c r="A37" s="6" t="s">
        <v>64</v>
      </c>
      <c r="B37" s="16">
        <f>MIN(AA3:AA32)</f>
        <v>370</v>
      </c>
      <c r="C37" s="16">
        <f t="shared" ref="C37:F37" si="33">MIN(AB3:AB32)</f>
        <v>400</v>
      </c>
      <c r="D37" s="16">
        <f t="shared" si="33"/>
        <v>370</v>
      </c>
      <c r="E37" s="16">
        <f t="shared" si="33"/>
        <v>380</v>
      </c>
      <c r="F37" s="16">
        <f t="shared" si="33"/>
        <v>350</v>
      </c>
      <c r="H37" s="16">
        <f>MIN(AF3:AF32)</f>
        <v>1920</v>
      </c>
    </row>
    <row r="38" spans="1:8">
      <c r="A38" s="6" t="s">
        <v>65</v>
      </c>
      <c r="B38" s="7">
        <f>AVERAGE(AA3:AA32)</f>
        <v>525.88333333333333</v>
      </c>
      <c r="C38" s="7">
        <f t="shared" ref="C38:F38" si="34">AVERAGE(AB3:AB32)</f>
        <v>527</v>
      </c>
      <c r="D38" s="7">
        <f t="shared" si="34"/>
        <v>536.56666666666672</v>
      </c>
      <c r="E38" s="7">
        <f t="shared" si="34"/>
        <v>517.1</v>
      </c>
      <c r="F38" s="7">
        <f t="shared" si="34"/>
        <v>524.41666666666663</v>
      </c>
      <c r="H38" s="16">
        <f>AVERAGE(AF3:AF32)</f>
        <v>2630.9666666666667</v>
      </c>
    </row>
    <row r="39" spans="1:8">
      <c r="A39" s="6" t="s">
        <v>66</v>
      </c>
      <c r="B39" s="16">
        <f>SUM(B36,B37,B38)</f>
        <v>1601.3833333333332</v>
      </c>
      <c r="C39" s="16">
        <f t="shared" ref="C39:H39" si="35">SUM(C36,C37,C38)</f>
        <v>1624</v>
      </c>
      <c r="D39" s="16">
        <f t="shared" si="35"/>
        <v>1603.5666666666666</v>
      </c>
      <c r="E39" s="16">
        <f t="shared" si="35"/>
        <v>1526.1</v>
      </c>
      <c r="F39" s="16">
        <f t="shared" si="35"/>
        <v>1554.4166666666665</v>
      </c>
      <c r="G39" s="16"/>
      <c r="H39" s="16">
        <f t="shared" si="35"/>
        <v>7916.9666666666672</v>
      </c>
    </row>
  </sheetData>
  <mergeCells count="1">
    <mergeCell ref="J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D0B6-1547-45DE-B9C9-DE03C304AD1C}">
  <dimension ref="A1:H31"/>
  <sheetViews>
    <sheetView tabSelected="1" topLeftCell="A8" workbookViewId="0">
      <selection activeCell="B29" sqref="B29"/>
    </sheetView>
  </sheetViews>
  <sheetFormatPr defaultRowHeight="15"/>
  <cols>
    <col min="2" max="2" width="12" bestFit="1" customWidth="1"/>
  </cols>
  <sheetData>
    <row r="1" spans="1:8" ht="16.5" thickBot="1">
      <c r="A1" s="15" t="s">
        <v>78</v>
      </c>
      <c r="B1" s="15" t="s">
        <v>1</v>
      </c>
      <c r="C1" s="2" t="s">
        <v>2</v>
      </c>
      <c r="D1" s="3">
        <v>44927</v>
      </c>
      <c r="E1" s="3">
        <v>44934</v>
      </c>
      <c r="F1" s="3">
        <v>44941</v>
      </c>
      <c r="G1" s="3">
        <v>44948</v>
      </c>
      <c r="H1" s="4">
        <v>44955</v>
      </c>
    </row>
    <row r="2" spans="1:8">
      <c r="A2" t="s">
        <v>3</v>
      </c>
      <c r="B2" t="s">
        <v>4</v>
      </c>
      <c r="C2" s="5">
        <v>15</v>
      </c>
      <c r="D2" s="5">
        <v>41</v>
      </c>
      <c r="E2" s="5">
        <v>41</v>
      </c>
      <c r="F2" s="5">
        <v>40</v>
      </c>
      <c r="G2" s="5">
        <v>38</v>
      </c>
      <c r="H2" s="5">
        <v>40</v>
      </c>
    </row>
    <row r="3" spans="1:8">
      <c r="A3" t="s">
        <v>5</v>
      </c>
      <c r="B3" t="s">
        <v>6</v>
      </c>
      <c r="C3" s="5">
        <v>15</v>
      </c>
      <c r="D3" s="5">
        <v>39</v>
      </c>
      <c r="E3" s="5">
        <v>40</v>
      </c>
      <c r="F3" s="5">
        <v>42</v>
      </c>
      <c r="G3" s="5">
        <v>39</v>
      </c>
      <c r="H3" s="5">
        <v>42</v>
      </c>
    </row>
    <row r="4" spans="1:8">
      <c r="A4" t="s">
        <v>7</v>
      </c>
      <c r="B4" t="s">
        <v>8</v>
      </c>
      <c r="C4" s="5">
        <v>13</v>
      </c>
      <c r="D4" s="5">
        <v>38</v>
      </c>
      <c r="E4" s="5">
        <v>40</v>
      </c>
      <c r="F4" s="5">
        <v>41</v>
      </c>
      <c r="G4" s="5">
        <v>38</v>
      </c>
      <c r="H4" s="5">
        <v>42</v>
      </c>
    </row>
    <row r="5" spans="1:8">
      <c r="A5" t="s">
        <v>9</v>
      </c>
      <c r="B5" t="s">
        <v>10</v>
      </c>
      <c r="C5" s="5">
        <v>14</v>
      </c>
      <c r="D5" s="5">
        <v>44</v>
      </c>
      <c r="E5" s="5">
        <v>39</v>
      </c>
      <c r="F5" s="5">
        <v>43</v>
      </c>
      <c r="G5" s="5">
        <v>37</v>
      </c>
      <c r="H5" s="5">
        <v>43</v>
      </c>
    </row>
    <row r="6" spans="1:8">
      <c r="A6" t="s">
        <v>11</v>
      </c>
      <c r="B6" t="s">
        <v>12</v>
      </c>
      <c r="C6" s="5">
        <v>12</v>
      </c>
      <c r="D6" s="5">
        <v>40</v>
      </c>
      <c r="E6" s="5">
        <v>37</v>
      </c>
      <c r="F6" s="5">
        <v>44</v>
      </c>
      <c r="G6" s="5">
        <v>38</v>
      </c>
      <c r="H6" s="5">
        <v>40</v>
      </c>
    </row>
    <row r="7" spans="1:8">
      <c r="A7" t="s">
        <v>13</v>
      </c>
      <c r="B7" t="s">
        <v>14</v>
      </c>
      <c r="C7" s="5">
        <v>11</v>
      </c>
      <c r="D7" s="5">
        <v>42</v>
      </c>
      <c r="E7" s="5">
        <v>39</v>
      </c>
      <c r="F7" s="5">
        <v>40</v>
      </c>
      <c r="G7" s="5">
        <v>39</v>
      </c>
      <c r="H7" s="5">
        <v>37</v>
      </c>
    </row>
    <row r="8" spans="1:8">
      <c r="A8" t="s">
        <v>15</v>
      </c>
      <c r="B8" t="s">
        <v>16</v>
      </c>
      <c r="C8" s="5">
        <v>17</v>
      </c>
      <c r="D8" s="5">
        <v>43</v>
      </c>
      <c r="E8" s="5">
        <v>36</v>
      </c>
      <c r="F8" s="5">
        <v>39</v>
      </c>
      <c r="G8" s="5">
        <v>36</v>
      </c>
      <c r="H8" s="5">
        <v>39</v>
      </c>
    </row>
    <row r="9" spans="1:8">
      <c r="A9" t="s">
        <v>17</v>
      </c>
      <c r="B9" t="s">
        <v>18</v>
      </c>
      <c r="C9" s="5">
        <v>14</v>
      </c>
      <c r="D9" s="5">
        <v>39</v>
      </c>
      <c r="E9" s="5">
        <v>40</v>
      </c>
      <c r="F9" s="5">
        <v>38</v>
      </c>
      <c r="G9" s="5">
        <v>35</v>
      </c>
      <c r="H9" s="5">
        <v>38</v>
      </c>
    </row>
    <row r="10" spans="1:8">
      <c r="A10" t="s">
        <v>19</v>
      </c>
      <c r="B10" t="s">
        <v>20</v>
      </c>
      <c r="C10" s="5">
        <v>12</v>
      </c>
      <c r="D10" s="5">
        <v>38</v>
      </c>
      <c r="E10" s="5">
        <v>41</v>
      </c>
      <c r="F10" s="5">
        <v>40</v>
      </c>
      <c r="G10" s="5">
        <v>40</v>
      </c>
      <c r="H10" s="5">
        <v>37</v>
      </c>
    </row>
    <row r="11" spans="1:8">
      <c r="A11" t="s">
        <v>21</v>
      </c>
      <c r="B11" t="s">
        <v>22</v>
      </c>
      <c r="C11" s="5">
        <v>13</v>
      </c>
      <c r="D11" s="5">
        <v>38</v>
      </c>
      <c r="E11" s="5">
        <v>42</v>
      </c>
      <c r="F11" s="5">
        <v>38</v>
      </c>
      <c r="G11" s="5">
        <v>40</v>
      </c>
      <c r="H11" s="5">
        <v>36</v>
      </c>
    </row>
    <row r="12" spans="1:8">
      <c r="A12" t="s">
        <v>23</v>
      </c>
      <c r="B12" t="s">
        <v>24</v>
      </c>
      <c r="C12" s="5">
        <v>10</v>
      </c>
      <c r="D12" s="5">
        <v>37</v>
      </c>
      <c r="E12" s="5">
        <v>43</v>
      </c>
      <c r="F12" s="5">
        <v>39</v>
      </c>
      <c r="G12" s="5">
        <v>40</v>
      </c>
      <c r="H12" s="5">
        <v>35</v>
      </c>
    </row>
    <row r="13" spans="1:8">
      <c r="A13" t="s">
        <v>25</v>
      </c>
      <c r="B13" t="s">
        <v>26</v>
      </c>
      <c r="C13" s="5">
        <v>10</v>
      </c>
      <c r="D13" s="5">
        <v>37</v>
      </c>
      <c r="E13" s="5">
        <v>40</v>
      </c>
      <c r="F13" s="5">
        <v>37</v>
      </c>
      <c r="G13" s="5">
        <v>38</v>
      </c>
      <c r="H13" s="5">
        <v>40</v>
      </c>
    </row>
    <row r="14" spans="1:8">
      <c r="A14" t="s">
        <v>27</v>
      </c>
      <c r="B14" t="s">
        <v>28</v>
      </c>
      <c r="C14" s="5">
        <v>12</v>
      </c>
      <c r="D14" s="5">
        <v>39</v>
      </c>
      <c r="E14" s="5">
        <v>38</v>
      </c>
      <c r="F14" s="5">
        <v>40</v>
      </c>
      <c r="G14" s="5">
        <v>38</v>
      </c>
      <c r="H14" s="5">
        <v>41</v>
      </c>
    </row>
    <row r="15" spans="1:8">
      <c r="A15" t="s">
        <v>29</v>
      </c>
      <c r="B15" t="s">
        <v>30</v>
      </c>
      <c r="C15" s="5">
        <v>13</v>
      </c>
      <c r="D15" s="5">
        <v>39</v>
      </c>
      <c r="E15" s="5">
        <v>39</v>
      </c>
      <c r="F15" s="5">
        <v>41</v>
      </c>
      <c r="G15" s="5">
        <v>38</v>
      </c>
      <c r="H15" s="5">
        <v>42</v>
      </c>
    </row>
    <row r="16" spans="1:8">
      <c r="A16" t="s">
        <v>31</v>
      </c>
      <c r="B16" t="s">
        <v>32</v>
      </c>
      <c r="C16" s="5">
        <v>12</v>
      </c>
      <c r="D16" s="5">
        <v>38</v>
      </c>
      <c r="E16" s="5">
        <v>38</v>
      </c>
      <c r="F16" s="5">
        <v>42</v>
      </c>
      <c r="G16" s="5">
        <v>40</v>
      </c>
      <c r="H16" s="5">
        <v>43</v>
      </c>
    </row>
    <row r="17" spans="1:8">
      <c r="A17" t="s">
        <v>33</v>
      </c>
      <c r="B17" t="s">
        <v>34</v>
      </c>
      <c r="C17" s="5">
        <v>14</v>
      </c>
      <c r="D17" s="5">
        <v>40</v>
      </c>
      <c r="E17" s="5">
        <v>37</v>
      </c>
      <c r="F17" s="5">
        <v>43</v>
      </c>
      <c r="G17" s="5">
        <v>41</v>
      </c>
      <c r="H17" s="5">
        <v>40</v>
      </c>
    </row>
    <row r="18" spans="1:8">
      <c r="A18" t="s">
        <v>35</v>
      </c>
      <c r="B18" t="s">
        <v>36</v>
      </c>
      <c r="C18" s="5">
        <v>15</v>
      </c>
      <c r="D18" s="5">
        <v>41</v>
      </c>
      <c r="E18" s="5">
        <v>36</v>
      </c>
      <c r="F18" s="5">
        <v>37</v>
      </c>
      <c r="G18" s="5">
        <v>43</v>
      </c>
      <c r="H18" s="5">
        <v>40</v>
      </c>
    </row>
    <row r="19" spans="1:8">
      <c r="A19" t="s">
        <v>37</v>
      </c>
      <c r="B19" t="s">
        <v>38</v>
      </c>
      <c r="C19" s="5">
        <v>15</v>
      </c>
      <c r="D19" s="5">
        <v>42</v>
      </c>
      <c r="E19" s="5">
        <v>41</v>
      </c>
      <c r="F19" s="5">
        <v>38</v>
      </c>
      <c r="G19" s="5">
        <v>43</v>
      </c>
      <c r="H19" s="5">
        <v>41</v>
      </c>
    </row>
    <row r="20" spans="1:8">
      <c r="A20" t="s">
        <v>39</v>
      </c>
      <c r="B20" t="s">
        <v>40</v>
      </c>
      <c r="C20" s="5">
        <v>13</v>
      </c>
      <c r="D20" s="5">
        <v>43</v>
      </c>
      <c r="E20" s="5">
        <v>42</v>
      </c>
      <c r="F20" s="5">
        <v>40</v>
      </c>
      <c r="G20" s="5">
        <v>31</v>
      </c>
      <c r="H20" s="5">
        <v>40</v>
      </c>
    </row>
    <row r="21" spans="1:8">
      <c r="A21" t="s">
        <v>41</v>
      </c>
      <c r="B21" t="s">
        <v>42</v>
      </c>
      <c r="C21" s="5">
        <v>14</v>
      </c>
      <c r="D21" s="5">
        <v>40</v>
      </c>
      <c r="E21" s="5">
        <v>42</v>
      </c>
      <c r="F21" s="5">
        <v>42</v>
      </c>
      <c r="G21" s="5">
        <v>42</v>
      </c>
      <c r="H21" s="5">
        <v>39</v>
      </c>
    </row>
    <row r="22" spans="1:8">
      <c r="A22" t="s">
        <v>43</v>
      </c>
      <c r="B22" t="s">
        <v>44</v>
      </c>
      <c r="C22" s="5">
        <v>12</v>
      </c>
      <c r="D22" s="5">
        <v>39</v>
      </c>
      <c r="E22" s="5">
        <v>43</v>
      </c>
      <c r="F22" s="5">
        <v>43</v>
      </c>
      <c r="G22" s="5">
        <v>40</v>
      </c>
      <c r="H22" s="5">
        <v>38</v>
      </c>
    </row>
    <row r="23" spans="1:8">
      <c r="A23" t="s">
        <v>45</v>
      </c>
      <c r="B23" t="s">
        <v>46</v>
      </c>
      <c r="C23" s="5">
        <v>14</v>
      </c>
      <c r="D23" s="5">
        <v>35</v>
      </c>
      <c r="E23" s="5">
        <v>40</v>
      </c>
      <c r="F23" s="5">
        <v>40</v>
      </c>
      <c r="G23" s="5">
        <v>37</v>
      </c>
      <c r="H23" s="5">
        <v>39</v>
      </c>
    </row>
    <row r="24" spans="1:8">
      <c r="A24" t="s">
        <v>47</v>
      </c>
      <c r="B24" t="s">
        <v>48</v>
      </c>
      <c r="C24" s="5">
        <v>12</v>
      </c>
      <c r="D24" s="5">
        <v>36</v>
      </c>
      <c r="E24" s="5">
        <v>40</v>
      </c>
      <c r="F24" s="5">
        <v>41</v>
      </c>
      <c r="G24" s="5">
        <v>39</v>
      </c>
      <c r="H24" s="5">
        <v>37</v>
      </c>
    </row>
    <row r="25" spans="1:8">
      <c r="A25" t="s">
        <v>49</v>
      </c>
      <c r="B25" t="s">
        <v>50</v>
      </c>
      <c r="C25" s="5">
        <v>10</v>
      </c>
      <c r="D25" s="5">
        <v>37</v>
      </c>
      <c r="E25" s="5">
        <v>41</v>
      </c>
      <c r="F25" s="5">
        <v>42</v>
      </c>
      <c r="G25" s="5">
        <v>38</v>
      </c>
      <c r="H25" s="5">
        <v>39</v>
      </c>
    </row>
    <row r="26" spans="1:8">
      <c r="A26" t="s">
        <v>51</v>
      </c>
      <c r="B26" t="s">
        <v>52</v>
      </c>
      <c r="C26" s="5">
        <v>17</v>
      </c>
      <c r="D26" s="5">
        <v>39</v>
      </c>
      <c r="E26" s="5">
        <v>42</v>
      </c>
      <c r="F26" s="5">
        <v>42</v>
      </c>
      <c r="G26" s="5">
        <v>37</v>
      </c>
      <c r="H26" s="5">
        <v>40</v>
      </c>
    </row>
    <row r="27" spans="1:8">
      <c r="A27" t="s">
        <v>53</v>
      </c>
      <c r="B27" t="s">
        <v>54</v>
      </c>
      <c r="C27" s="5">
        <v>16</v>
      </c>
      <c r="D27" s="5">
        <v>40</v>
      </c>
      <c r="E27" s="5">
        <v>38</v>
      </c>
      <c r="F27" s="5">
        <v>40</v>
      </c>
      <c r="G27" s="5">
        <v>36</v>
      </c>
      <c r="H27" s="5">
        <v>40</v>
      </c>
    </row>
    <row r="28" spans="1:8">
      <c r="A28" t="s">
        <v>55</v>
      </c>
      <c r="B28" t="s">
        <v>56</v>
      </c>
      <c r="C28" s="5">
        <v>15</v>
      </c>
      <c r="D28" s="5">
        <v>41</v>
      </c>
      <c r="E28" s="5">
        <v>39</v>
      </c>
      <c r="F28" s="5">
        <v>39</v>
      </c>
      <c r="G28" s="5">
        <v>38</v>
      </c>
      <c r="H28" s="5">
        <v>31</v>
      </c>
    </row>
    <row r="29" spans="1:8">
      <c r="A29" t="s">
        <v>57</v>
      </c>
      <c r="B29" t="s">
        <v>58</v>
      </c>
      <c r="C29" s="5">
        <v>14</v>
      </c>
      <c r="D29" s="5">
        <v>39</v>
      </c>
      <c r="E29" s="5">
        <v>37</v>
      </c>
      <c r="F29" s="5">
        <v>38</v>
      </c>
      <c r="G29" s="5">
        <v>39</v>
      </c>
      <c r="H29" s="5">
        <v>32</v>
      </c>
    </row>
    <row r="30" spans="1:8">
      <c r="A30" t="s">
        <v>59</v>
      </c>
      <c r="B30" t="s">
        <v>60</v>
      </c>
      <c r="C30" s="5">
        <v>15</v>
      </c>
      <c r="D30" s="5">
        <v>36</v>
      </c>
      <c r="E30" s="5">
        <v>37</v>
      </c>
      <c r="F30" s="5">
        <v>37</v>
      </c>
      <c r="G30" s="5">
        <v>39</v>
      </c>
      <c r="H30" s="5">
        <v>40</v>
      </c>
    </row>
    <row r="31" spans="1:8">
      <c r="A31" t="s">
        <v>61</v>
      </c>
      <c r="B31" t="s">
        <v>62</v>
      </c>
      <c r="C31" s="5">
        <v>16</v>
      </c>
      <c r="D31" s="5">
        <v>35</v>
      </c>
      <c r="E31" s="5">
        <v>35</v>
      </c>
      <c r="F31" s="5">
        <v>40</v>
      </c>
      <c r="G31" s="5">
        <v>38</v>
      </c>
      <c r="H31" s="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Charles</dc:creator>
  <cp:lastModifiedBy>Blessing Achime</cp:lastModifiedBy>
  <dcterms:created xsi:type="dcterms:W3CDTF">2023-12-13T13:10:04Z</dcterms:created>
  <dcterms:modified xsi:type="dcterms:W3CDTF">2026-05-27T11:19:32Z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98E37CFA339E4BFF819B0FE4AA2C8601_11</vt:lpwstr>
  </property>
  <property fmtid="{D5CDD505-2E9C-101B-9397-08002B2CF9AE}" pid="3" name="KSOProductBuildVer">
    <vt:lpwstr>1033-12.2.0.13359</vt:lpwstr>
  </property>
</Properties>
</file>